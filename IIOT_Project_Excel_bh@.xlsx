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202300"/>
  <mc:AlternateContent xmlns:mc="http://schemas.openxmlformats.org/markup-compatibility/2006">
    <mc:Choice Requires="x15">
      <x15ac:absPath xmlns:x15ac="http://schemas.microsoft.com/office/spreadsheetml/2010/11/ac" url="C:\Users\amitv\Desktop\"/>
    </mc:Choice>
  </mc:AlternateContent>
  <xr:revisionPtr revIDLastSave="0" documentId="13_ncr:1_{3A99CD91-AAC3-4303-A196-585BFD23E1CD}" xr6:coauthVersionLast="47" xr6:coauthVersionMax="47" xr10:uidLastSave="{00000000-0000-0000-0000-000000000000}"/>
  <bookViews>
    <workbookView xWindow="-108" yWindow="-108" windowWidth="23256" windowHeight="12456" activeTab="1" xr2:uid="{B7A47161-C6D2-4898-880E-C7B8268C72B4}"/>
  </bookViews>
  <sheets>
    <sheet name="KPI_Formula" sheetId="8" r:id="rId1"/>
    <sheet name="Finale_Dashboard" sheetId="7" r:id="rId2"/>
    <sheet name="M-1" sheetId="2" r:id="rId3"/>
    <sheet name="M-2" sheetId="3" r:id="rId4"/>
    <sheet name="M-3" sheetId="4" r:id="rId5"/>
    <sheet name="M-4" sheetId="5" r:id="rId6"/>
    <sheet name="M-5" sheetId="6" r:id="rId7"/>
    <sheet name="Raw_Data" sheetId="1" r:id="rId8"/>
  </sheets>
  <externalReferences>
    <externalReference r:id="rId9"/>
  </externalReferences>
  <definedNames>
    <definedName name="Slicer_Gender">#N/A</definedName>
    <definedName name="Slicer_Product_Category">#N/A</definedName>
    <definedName name="Slicer_Product_Name">#N/A</definedName>
    <definedName name="Slicer_Region">#N/A</definedName>
    <definedName name="Slicer_Segment">#N/A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<sst xmlns="http://schemas.openxmlformats.org/spreadsheetml/2006/main" count="1571" uniqueCount="454">
  <si>
    <t>Transaction_ID</t>
  </si>
  <si>
    <t>Date</t>
  </si>
  <si>
    <t>Store_Location</t>
  </si>
  <si>
    <t>Region</t>
  </si>
  <si>
    <t>Customer_ID</t>
  </si>
  <si>
    <t>Gender</t>
  </si>
  <si>
    <t>Segment</t>
  </si>
  <si>
    <t>Product_ID</t>
  </si>
  <si>
    <t>Product_Category</t>
  </si>
  <si>
    <t>Product_Name</t>
  </si>
  <si>
    <t>Quantity_Sold</t>
  </si>
  <si>
    <t>Unit_Cost</t>
  </si>
  <si>
    <t>Unit_Price</t>
  </si>
  <si>
    <t>Revenue</t>
  </si>
  <si>
    <t>Total_Cost</t>
  </si>
  <si>
    <t>Profit</t>
  </si>
  <si>
    <t>TXN-10000</t>
  </si>
  <si>
    <t>NY Flagship</t>
  </si>
  <si>
    <t>East</t>
  </si>
  <si>
    <t>CUST-1161</t>
  </si>
  <si>
    <t>Female</t>
  </si>
  <si>
    <t>Regular</t>
  </si>
  <si>
    <t>PROD-ELE-102</t>
  </si>
  <si>
    <t>Electronics</t>
  </si>
  <si>
    <t>Wireless Buds</t>
  </si>
  <si>
    <t>TXN-10001</t>
  </si>
  <si>
    <t>2025-12-15</t>
  </si>
  <si>
    <t>Atlanta Downtown</t>
  </si>
  <si>
    <t>South</t>
  </si>
  <si>
    <t>CUST-1168</t>
  </si>
  <si>
    <t>Male</t>
  </si>
  <si>
    <t>Value</t>
  </si>
  <si>
    <t>PROD-ELE-100</t>
  </si>
  <si>
    <t>Laptop Pro</t>
  </si>
  <si>
    <t>TXN-10002</t>
  </si>
  <si>
    <t>2025-09-28</t>
  </si>
  <si>
    <t>CUST-1152</t>
  </si>
  <si>
    <t>PROD-HOM-100</t>
  </si>
  <si>
    <t>Home &amp; Kitchen</t>
  </si>
  <si>
    <t>Air Fryer XL</t>
  </si>
  <si>
    <t>TXN-10003</t>
  </si>
  <si>
    <t>2025-04-17</t>
  </si>
  <si>
    <t>Seattle Wharf</t>
  </si>
  <si>
    <t>West</t>
  </si>
  <si>
    <t>CUST-1178</t>
  </si>
  <si>
    <t>Premier</t>
  </si>
  <si>
    <t>PROD-ELE-101</t>
  </si>
  <si>
    <t>Smart Watch v2</t>
  </si>
  <si>
    <t>TXN-10004</t>
  </si>
  <si>
    <t>2025-03-13</t>
  </si>
  <si>
    <t>CUST-1040</t>
  </si>
  <si>
    <t>TXN-10005</t>
  </si>
  <si>
    <t>2025-07-08</t>
  </si>
  <si>
    <t>Miami Beach</t>
  </si>
  <si>
    <t>CUST-1030</t>
  </si>
  <si>
    <t>PROD-HOM-102</t>
  </si>
  <si>
    <t>Blender Touch</t>
  </si>
  <si>
    <t>TXN-10006</t>
  </si>
  <si>
    <t>2025-01-21</t>
  </si>
  <si>
    <t>CUST-1089</t>
  </si>
  <si>
    <t>PROD-BEA-102</t>
  </si>
  <si>
    <t>Beauty</t>
  </si>
  <si>
    <t>Sonic Cleanser</t>
  </si>
  <si>
    <t>TXN-10007</t>
  </si>
  <si>
    <t>2025-04-13</t>
  </si>
  <si>
    <t>LA Center</t>
  </si>
  <si>
    <t>CUST-1125</t>
  </si>
  <si>
    <t>TXN-10008</t>
  </si>
  <si>
    <t>2025-05-02</t>
  </si>
  <si>
    <t>Chicago Metro</t>
  </si>
  <si>
    <t>North</t>
  </si>
  <si>
    <t>CUST-1247</t>
  </si>
  <si>
    <t>TXN-10009</t>
  </si>
  <si>
    <t>2025-08-03</t>
  </si>
  <si>
    <t>CUST-1067</t>
  </si>
  <si>
    <t>TXN-10010</t>
  </si>
  <si>
    <t>2025-11-27</t>
  </si>
  <si>
    <t>Detroit Hub</t>
  </si>
  <si>
    <t>CUST-1222</t>
  </si>
  <si>
    <t>PROD-APP-100</t>
  </si>
  <si>
    <t>Apparel</t>
  </si>
  <si>
    <t>Classic Denim</t>
  </si>
  <si>
    <t>TXN-10011</t>
  </si>
  <si>
    <t>2025-03-29</t>
  </si>
  <si>
    <t>CUST-1183</t>
  </si>
  <si>
    <t>PROD-APP-101</t>
  </si>
  <si>
    <t>Running Shoes</t>
  </si>
  <si>
    <t>TXN-10012</t>
  </si>
  <si>
    <t>2025-04-10</t>
  </si>
  <si>
    <t>CUST-1118</t>
  </si>
  <si>
    <t>PROD-BEA-100</t>
  </si>
  <si>
    <t>Skincare Serum</t>
  </si>
  <si>
    <t>TXN-10013</t>
  </si>
  <si>
    <t>2025-12-26</t>
  </si>
  <si>
    <t>CUST-1157</t>
  </si>
  <si>
    <t>TXN-10014</t>
  </si>
  <si>
    <t>2025-06-01</t>
  </si>
  <si>
    <t>CUST-1243</t>
  </si>
  <si>
    <t>TXN-10015</t>
  </si>
  <si>
    <t>2025-05-11</t>
  </si>
  <si>
    <t>CUST-1104</t>
  </si>
  <si>
    <t>PROD-HOM-101</t>
  </si>
  <si>
    <t>Coffee Brewer</t>
  </si>
  <si>
    <t>TXN-10016</t>
  </si>
  <si>
    <t>2025-05-30</t>
  </si>
  <si>
    <t>CUST-1141</t>
  </si>
  <si>
    <t>TXN-10017</t>
  </si>
  <si>
    <t>2025-11-05</t>
  </si>
  <si>
    <t>Boston Common</t>
  </si>
  <si>
    <t>CUST-1236</t>
  </si>
  <si>
    <t>TXN-10018</t>
  </si>
  <si>
    <t>2025-09-15</t>
  </si>
  <si>
    <t>CUST-1092</t>
  </si>
  <si>
    <t>TXN-10019</t>
  </si>
  <si>
    <t>2025-12-10</t>
  </si>
  <si>
    <t>CUST-1011</t>
  </si>
  <si>
    <t>TXN-10020</t>
  </si>
  <si>
    <t>2025-10-21</t>
  </si>
  <si>
    <t>CUST-1057</t>
  </si>
  <si>
    <t>TXN-10021</t>
  </si>
  <si>
    <t>2025-07-11</t>
  </si>
  <si>
    <t>CUST-1137</t>
  </si>
  <si>
    <t>TXN-10022</t>
  </si>
  <si>
    <t>2025-10-04</t>
  </si>
  <si>
    <t>CUST-1090</t>
  </si>
  <si>
    <t>PROD-APP-102</t>
  </si>
  <si>
    <t>Hoodie Comfort</t>
  </si>
  <si>
    <t>TXN-10023</t>
  </si>
  <si>
    <t>2025-06-10</t>
  </si>
  <si>
    <t>CUST-1171</t>
  </si>
  <si>
    <t>Unspecified</t>
  </si>
  <si>
    <t>TXN-10024</t>
  </si>
  <si>
    <t>2025-11-10</t>
  </si>
  <si>
    <t>CUST-1088</t>
  </si>
  <si>
    <t>TXN-10025</t>
  </si>
  <si>
    <t>2025-01-22</t>
  </si>
  <si>
    <t>CUST-1049</t>
  </si>
  <si>
    <t>TXN-10026</t>
  </si>
  <si>
    <t>2025-09-10</t>
  </si>
  <si>
    <t>TXN-10027</t>
  </si>
  <si>
    <t>2025-08-24</t>
  </si>
  <si>
    <t>CUST-1211</t>
  </si>
  <si>
    <t>TXN-10028</t>
  </si>
  <si>
    <t>2025-12-11</t>
  </si>
  <si>
    <t>CUST-1019</t>
  </si>
  <si>
    <t>TXN-10029</t>
  </si>
  <si>
    <t>2025-02-18</t>
  </si>
  <si>
    <t>CUST-1114</t>
  </si>
  <si>
    <t>TXN-10030</t>
  </si>
  <si>
    <t>2025-02-28</t>
  </si>
  <si>
    <t>CUST-1131</t>
  </si>
  <si>
    <t>TXN-10031</t>
  </si>
  <si>
    <t>2025-06-19</t>
  </si>
  <si>
    <t>CUST-1220</t>
  </si>
  <si>
    <t>TXN-10032</t>
  </si>
  <si>
    <t>2025-07-07</t>
  </si>
  <si>
    <t>CUST-1215</t>
  </si>
  <si>
    <t>TXN-10033</t>
  </si>
  <si>
    <t>CUST-1097</t>
  </si>
  <si>
    <t>TXN-10034</t>
  </si>
  <si>
    <t>2025-07-09</t>
  </si>
  <si>
    <t>CUST-1144</t>
  </si>
  <si>
    <t>TXN-10035</t>
  </si>
  <si>
    <t>2025-06-24</t>
  </si>
  <si>
    <t>CUST-1007</t>
  </si>
  <si>
    <t>TXN-10036</t>
  </si>
  <si>
    <t>2025-02-20</t>
  </si>
  <si>
    <t>CUST-1029</t>
  </si>
  <si>
    <t>TXN-10037</t>
  </si>
  <si>
    <t>2025-12-30</t>
  </si>
  <si>
    <t>CUST-1130</t>
  </si>
  <si>
    <t>TXN-10038</t>
  </si>
  <si>
    <t>2025-02-24</t>
  </si>
  <si>
    <t>PROD-BEA-101</t>
  </si>
  <si>
    <t>Fragrance Luxe</t>
  </si>
  <si>
    <t>TXN-10039</t>
  </si>
  <si>
    <t>2025-09-01</t>
  </si>
  <si>
    <t>CUST-1202</t>
  </si>
  <si>
    <t>TXN-10040</t>
  </si>
  <si>
    <t>2025-11-16</t>
  </si>
  <si>
    <t>CUST-1009</t>
  </si>
  <si>
    <t>TXN-10041</t>
  </si>
  <si>
    <t>CUST-1004</t>
  </si>
  <si>
    <t>TXN-10042</t>
  </si>
  <si>
    <t>2025-11-03</t>
  </si>
  <si>
    <t>CUST-1128</t>
  </si>
  <si>
    <t>TXN-10043</t>
  </si>
  <si>
    <t>2025-05-15</t>
  </si>
  <si>
    <t>CUST-1122</t>
  </si>
  <si>
    <t>TXN-10044</t>
  </si>
  <si>
    <t>CUST-1219</t>
  </si>
  <si>
    <t>TXN-10045</t>
  </si>
  <si>
    <t>2025-11-25</t>
  </si>
  <si>
    <t>CUST-1154</t>
  </si>
  <si>
    <t>TXN-10046</t>
  </si>
  <si>
    <t>2025-06-16</t>
  </si>
  <si>
    <t>CUST-1051</t>
  </si>
  <si>
    <t>TXN-10047</t>
  </si>
  <si>
    <t>2025-10-01</t>
  </si>
  <si>
    <t>CUST-1164</t>
  </si>
  <si>
    <t>TXN-10048</t>
  </si>
  <si>
    <t>2025-03-30</t>
  </si>
  <si>
    <t>CUST-1246</t>
  </si>
  <si>
    <t>TXN-10049</t>
  </si>
  <si>
    <t>2025-11-12</t>
  </si>
  <si>
    <t>CUST-1235</t>
  </si>
  <si>
    <t>TXN-10050</t>
  </si>
  <si>
    <t>2025-01-14</t>
  </si>
  <si>
    <t>CUST-1073</t>
  </si>
  <si>
    <t>TXN-10051</t>
  </si>
  <si>
    <t>2025-08-30</t>
  </si>
  <si>
    <t>CUST-1039</t>
  </si>
  <si>
    <t>TXN-10052</t>
  </si>
  <si>
    <t>2025-09-22</t>
  </si>
  <si>
    <t>TXN-10053</t>
  </si>
  <si>
    <t>2025-12-12</t>
  </si>
  <si>
    <t>CUST-1241</t>
  </si>
  <si>
    <t>TXN-10054</t>
  </si>
  <si>
    <t>2025-02-22</t>
  </si>
  <si>
    <t>TXN-10055</t>
  </si>
  <si>
    <t>2025-12-06</t>
  </si>
  <si>
    <t>CUST-1059</t>
  </si>
  <si>
    <t>TXN-10056</t>
  </si>
  <si>
    <t>2025-04-02</t>
  </si>
  <si>
    <t>CUST-1026</t>
  </si>
  <si>
    <t>TXN-10057</t>
  </si>
  <si>
    <t>2025-09-21</t>
  </si>
  <si>
    <t>CUST-1176</t>
  </si>
  <si>
    <t>TXN-10058</t>
  </si>
  <si>
    <t>2025-02-04</t>
  </si>
  <si>
    <t>CUST-1227</t>
  </si>
  <si>
    <t>TXN-10059</t>
  </si>
  <si>
    <t>2025-07-25</t>
  </si>
  <si>
    <t>CUST-1188</t>
  </si>
  <si>
    <t>TXN-10060</t>
  </si>
  <si>
    <t>2025-03-22</t>
  </si>
  <si>
    <t>CUST-1015</t>
  </si>
  <si>
    <t>TXN-10061</t>
  </si>
  <si>
    <t>2025-02-19</t>
  </si>
  <si>
    <t>CUST-1237</t>
  </si>
  <si>
    <t>TXN-10062</t>
  </si>
  <si>
    <t>TXN-10063</t>
  </si>
  <si>
    <t>2025-01-02</t>
  </si>
  <si>
    <t>TXN-10064</t>
  </si>
  <si>
    <t>2025-02-23</t>
  </si>
  <si>
    <t>CUST-1121</t>
  </si>
  <si>
    <t>TXN-10065</t>
  </si>
  <si>
    <t>2025-04-16</t>
  </si>
  <si>
    <t>CUST-1173</t>
  </si>
  <si>
    <t>TXN-10066</t>
  </si>
  <si>
    <t>2025-09-17</t>
  </si>
  <si>
    <t>CUST-1193</t>
  </si>
  <si>
    <t>TXN-10067</t>
  </si>
  <si>
    <t>2025-11-06</t>
  </si>
  <si>
    <t>CUST-1187</t>
  </si>
  <si>
    <t>TXN-10068</t>
  </si>
  <si>
    <t>2025-07-10</t>
  </si>
  <si>
    <t>TXN-10069</t>
  </si>
  <si>
    <t>2025-08-06</t>
  </si>
  <si>
    <t>CUST-1148</t>
  </si>
  <si>
    <t>TXN-10070</t>
  </si>
  <si>
    <t>2025-02-13</t>
  </si>
  <si>
    <t>TXN-10071</t>
  </si>
  <si>
    <t>2025-06-11</t>
  </si>
  <si>
    <t>TXN-10072</t>
  </si>
  <si>
    <t>2025-07-21</t>
  </si>
  <si>
    <t>TXN-10073</t>
  </si>
  <si>
    <t>2025-09-27</t>
  </si>
  <si>
    <t>CUST-1239</t>
  </si>
  <si>
    <t>TXN-10074</t>
  </si>
  <si>
    <t>2025-12-17</t>
  </si>
  <si>
    <t>CUST-1123</t>
  </si>
  <si>
    <t>TXN-10075</t>
  </si>
  <si>
    <t>2025-10-31</t>
  </si>
  <si>
    <t>TXN-10076</t>
  </si>
  <si>
    <t>TXN-10077</t>
  </si>
  <si>
    <t>TXN-10078</t>
  </si>
  <si>
    <t>2025-09-09</t>
  </si>
  <si>
    <t>CUST-1098</t>
  </si>
  <si>
    <t>TXN-10079</t>
  </si>
  <si>
    <t>TXN-10080</t>
  </si>
  <si>
    <t>2025-10-23</t>
  </si>
  <si>
    <t>CUST-1170</t>
  </si>
  <si>
    <t>TXN-10081</t>
  </si>
  <si>
    <t>2025-08-01</t>
  </si>
  <si>
    <t>CUST-1249</t>
  </si>
  <si>
    <t>TXN-10082</t>
  </si>
  <si>
    <t>2025-07-27</t>
  </si>
  <si>
    <t>CUST-1082</t>
  </si>
  <si>
    <t>TXN-10083</t>
  </si>
  <si>
    <t>2025-08-25</t>
  </si>
  <si>
    <t>CUST-1155</t>
  </si>
  <si>
    <t>TXN-10084</t>
  </si>
  <si>
    <t>2025-12-04</t>
  </si>
  <si>
    <t>CUST-1163</t>
  </si>
  <si>
    <t>TXN-10085</t>
  </si>
  <si>
    <t>CUST-1156</t>
  </si>
  <si>
    <t>TXN-10086</t>
  </si>
  <si>
    <t>2025-10-07</t>
  </si>
  <si>
    <t>CUST-1242</t>
  </si>
  <si>
    <t>TXN-10087</t>
  </si>
  <si>
    <t>2025-08-05</t>
  </si>
  <si>
    <t>CUST-1022</t>
  </si>
  <si>
    <t>TXN-10088</t>
  </si>
  <si>
    <t>TXN-10089</t>
  </si>
  <si>
    <t>CUST-1111</t>
  </si>
  <si>
    <t>TXN-10090</t>
  </si>
  <si>
    <t>2025-02-10</t>
  </si>
  <si>
    <t>TXN-10091</t>
  </si>
  <si>
    <t>2025-06-06</t>
  </si>
  <si>
    <t>CUST-1075</t>
  </si>
  <si>
    <t>TXN-10092</t>
  </si>
  <si>
    <t>2025-01-15</t>
  </si>
  <si>
    <t>CUST-1126</t>
  </si>
  <si>
    <t>TXN-10093</t>
  </si>
  <si>
    <t>2025-10-28</t>
  </si>
  <si>
    <t>CUST-1006</t>
  </si>
  <si>
    <t>TXN-10094</t>
  </si>
  <si>
    <t>2025-03-06</t>
  </si>
  <si>
    <t>CUST-1162</t>
  </si>
  <si>
    <t>TXN-10095</t>
  </si>
  <si>
    <t>CUST-1072</t>
  </si>
  <si>
    <t>TXN-10096</t>
  </si>
  <si>
    <t>2025-11-23</t>
  </si>
  <si>
    <t>CUST-1050</t>
  </si>
  <si>
    <t>TXN-10097</t>
  </si>
  <si>
    <t>2025-01-09</t>
  </si>
  <si>
    <t>TXN-10098</t>
  </si>
  <si>
    <t>CUST-1228</t>
  </si>
  <si>
    <t>TXN-10099</t>
  </si>
  <si>
    <t>2025-05-09</t>
  </si>
  <si>
    <t>TXN-10100</t>
  </si>
  <si>
    <t>2025-05-16</t>
  </si>
  <si>
    <t>CUST-1064</t>
  </si>
  <si>
    <t>TXN-10101</t>
  </si>
  <si>
    <t>2025-03-04</t>
  </si>
  <si>
    <t>CUST-1102</t>
  </si>
  <si>
    <t>TXN-10102</t>
  </si>
  <si>
    <t>2025-05-19</t>
  </si>
  <si>
    <t>CUST-1160</t>
  </si>
  <si>
    <t>TXN-10103</t>
  </si>
  <si>
    <t>TXN-10104</t>
  </si>
  <si>
    <t>2025-06-12</t>
  </si>
  <si>
    <t>CUST-1150</t>
  </si>
  <si>
    <t>TXN-10105</t>
  </si>
  <si>
    <t>2025-10-16</t>
  </si>
  <si>
    <t>CUST-1106</t>
  </si>
  <si>
    <t>TXN-10106</t>
  </si>
  <si>
    <t>2025-09-18</t>
  </si>
  <si>
    <t>TXN-10107</t>
  </si>
  <si>
    <t>2025-08-19</t>
  </si>
  <si>
    <t>TXN-10108</t>
  </si>
  <si>
    <t>CUST-1132</t>
  </si>
  <si>
    <t>TXN-10109</t>
  </si>
  <si>
    <t>2025-01-28</t>
  </si>
  <si>
    <t>CUST-1014</t>
  </si>
  <si>
    <t>TXN-10110</t>
  </si>
  <si>
    <t>CUST-1147</t>
  </si>
  <si>
    <t>TXN-10111</t>
  </si>
  <si>
    <t>2025-07-20</t>
  </si>
  <si>
    <t>TXN-10112</t>
  </si>
  <si>
    <t>2025-11-24</t>
  </si>
  <si>
    <t>TXN-10113</t>
  </si>
  <si>
    <t>2025-09-25</t>
  </si>
  <si>
    <t>TXN-10114</t>
  </si>
  <si>
    <t>2025-02-02</t>
  </si>
  <si>
    <t>CUST-1037</t>
  </si>
  <si>
    <t>TXN-10115</t>
  </si>
  <si>
    <t>2025-02-17</t>
  </si>
  <si>
    <t>TXN-10116</t>
  </si>
  <si>
    <t>2025-03-03</t>
  </si>
  <si>
    <t>TXN-10117</t>
  </si>
  <si>
    <t>2025-08-04</t>
  </si>
  <si>
    <t>TXN-10118</t>
  </si>
  <si>
    <t>2025-10-20</t>
  </si>
  <si>
    <t>CUST-1078</t>
  </si>
  <si>
    <t>TXN-10119</t>
  </si>
  <si>
    <t>2025-04-09</t>
  </si>
  <si>
    <t>TXN-10120</t>
  </si>
  <si>
    <t>2025-06-21</t>
  </si>
  <si>
    <t>TXN-10121</t>
  </si>
  <si>
    <t>CUST-1184</t>
  </si>
  <si>
    <t>TXN-10122</t>
  </si>
  <si>
    <t>2025-08-02</t>
  </si>
  <si>
    <t>CUST-1080</t>
  </si>
  <si>
    <t>TXN-10123</t>
  </si>
  <si>
    <t>TXN-10124</t>
  </si>
  <si>
    <t>2025-08-15</t>
  </si>
  <si>
    <t>CUST-1204</t>
  </si>
  <si>
    <t>TXN-10125</t>
  </si>
  <si>
    <t>2025-04-11</t>
  </si>
  <si>
    <t>CUST-1189</t>
  </si>
  <si>
    <t>TXN-10126</t>
  </si>
  <si>
    <t>CUST-1001</t>
  </si>
  <si>
    <t>TXN-10127</t>
  </si>
  <si>
    <t>2025-09-14</t>
  </si>
  <si>
    <t>CUST-1206</t>
  </si>
  <si>
    <t>TXN-10128</t>
  </si>
  <si>
    <t>2025-01-05</t>
  </si>
  <si>
    <t>TXN-10129</t>
  </si>
  <si>
    <t>CUST-1038</t>
  </si>
  <si>
    <t>TXN-10130</t>
  </si>
  <si>
    <t>2025-09-12</t>
  </si>
  <si>
    <t>TXN-10131</t>
  </si>
  <si>
    <t>2025-12-25</t>
  </si>
  <si>
    <t>CUST-1034</t>
  </si>
  <si>
    <t>TXN-10132</t>
  </si>
  <si>
    <t>2025-10-10</t>
  </si>
  <si>
    <t>TXN-10133</t>
  </si>
  <si>
    <t>2025-07-26</t>
  </si>
  <si>
    <t>CUST-1033</t>
  </si>
  <si>
    <t>TXN-10134</t>
  </si>
  <si>
    <t>CUST-1190</t>
  </si>
  <si>
    <t>TXN-10135</t>
  </si>
  <si>
    <t>TXN-10136</t>
  </si>
  <si>
    <t>2025-02-11</t>
  </si>
  <si>
    <t>TXN-10137</t>
  </si>
  <si>
    <t>2025-06-28</t>
  </si>
  <si>
    <t>CUST-1083</t>
  </si>
  <si>
    <t>TXN-10138</t>
  </si>
  <si>
    <t>CUST-1065</t>
  </si>
  <si>
    <t>TXN-10139</t>
  </si>
  <si>
    <t>2025-12-18</t>
  </si>
  <si>
    <t>TXN-10140</t>
  </si>
  <si>
    <t>TXN-10141</t>
  </si>
  <si>
    <t>2025-08-29</t>
  </si>
  <si>
    <t>CUST-1198</t>
  </si>
  <si>
    <t>TXN-10142</t>
  </si>
  <si>
    <t>2025-02-21</t>
  </si>
  <si>
    <t>CUST-1044</t>
  </si>
  <si>
    <t>TXN-10143</t>
  </si>
  <si>
    <t>2025-04-06</t>
  </si>
  <si>
    <t>TXN-10144</t>
  </si>
  <si>
    <t>2025-08-10</t>
  </si>
  <si>
    <t>CUST-1036</t>
  </si>
  <si>
    <t>TXN-10145</t>
  </si>
  <si>
    <t>TXN-10146</t>
  </si>
  <si>
    <t>CUST-1136</t>
  </si>
  <si>
    <t>TXN-10147</t>
  </si>
  <si>
    <t>2025-05-23</t>
  </si>
  <si>
    <t>TXN-10148</t>
  </si>
  <si>
    <t>2025-06-20</t>
  </si>
  <si>
    <t>CUST-1191</t>
  </si>
  <si>
    <t>Sum of Profit</t>
  </si>
  <si>
    <t>Sum of Revenue</t>
  </si>
  <si>
    <t>Row Labels</t>
  </si>
  <si>
    <t>Grand Total</t>
  </si>
  <si>
    <t>Sum of Quantity_Sold</t>
  </si>
  <si>
    <t>Store Performance Analytics</t>
  </si>
  <si>
    <t>Product Performance Analytics</t>
  </si>
  <si>
    <t>Inventory Analytics</t>
  </si>
  <si>
    <r>
      <rPr>
        <b/>
        <sz val="24"/>
        <color theme="1"/>
        <rFont val="Amazon Ember Heavy"/>
        <family val="2"/>
      </rPr>
      <t>Customer Segmentation</t>
    </r>
    <r>
      <rPr>
        <sz val="11"/>
        <color theme="1"/>
        <rFont val="Aptos Narrow"/>
        <family val="2"/>
        <scheme val="minor"/>
      </rPr>
      <t xml:space="preserve"> </t>
    </r>
  </si>
  <si>
    <t>Customer Segmentation</t>
  </si>
  <si>
    <t xml:space="preserve">K P 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</si>
</sst>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Aptos Narrow"/>
      <family val="2"/>
      <scheme val="minor"/>
    </font>
    <font>
      <b/>
      <sz val="11"/>
      <color rgb="FFFFFFFF"/>
      <name val="Calibri"/>
      <family val="2"/>
    </font>
    <font>
      <b/>
      <sz val="24"/>
      <color theme="1"/>
      <name val="Amazon Ember Heavy"/>
      <family val="2"/>
    </font>
  </fonts>
  <fills count="5">
    <fill>
      <patternFill patternType="none"/>
    </fill>
    <fill>
      <patternFill patternType="gray125"/>
    </fill>
    <fill>
      <patternFill patternType="solid">
        <fgColor rgb="FF1F4E78"/>
        <bgColor rgb="FF1F4E78"/>
      </patternFill>
    </fill>
    <fill>
      <patternFill patternType="solid">
        <fgColor theme="5" tint="-0.249977111117893"/>
        <bgColor indexed="64"/>
      </patternFill>
    </fill>
    <fill>
      <patternFill patternType="solid">
        <fgColor rgb="FFC0000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xf>
    <xf numFmtId="164" fontId="1" fillId="2" borderId="1" xfId="0" applyNumberFormat="1" applyFont="1" applyFill="1" applyBorder="1" applyAlignment="1">
      <alignment horizontal="center"/>
    </xf>
    <xf numFmtId="0" fontId="0" fillId="0" borderId="0" xfId="0"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0" fontId="2" fillId="4" borderId="0" xfId="0" applyFont="1" applyFill="1" applyAlignment="1">
      <alignment horizontal="center"/>
    </xf>
    <xf numFmtId="0" fontId="0" fillId="4" borderId="0" xfId="0" applyFill="1" applyAlignment="1">
      <alignment horizontal="center"/>
    </xf>
    <xf numFmtId="0" fontId="2" fillId="3" borderId="0" xfId="0" applyFont="1" applyFill="1" applyAlignment="1">
      <alignment horizontal="center"/>
    </xf>
    <xf numFmtId="0" fontId="0" fillId="3" borderId="0" xfId="0" applyFill="1" applyAlignment="1">
      <alignment horizontal="center"/>
    </xf>
  </cellXfs>
  <cellStyles count="1">
    <cellStyle name="Normal" xfId="0" builtinId="0"/>
  </cellStyles>
  <dxfs count="20">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rgb="FFFFFFFF"/>
        <name val="Calibri"/>
        <scheme val="none"/>
      </font>
      <fill>
        <patternFill patternType="solid">
          <fgColor rgb="FF1F4E78"/>
          <bgColor rgb="FF1F4E78"/>
        </patternFill>
      </fill>
      <alignment horizontal="center" vertical="bottom"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[IIOT_Dataset.xlsx]M-5!PivotTable5</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'M-5'!$C$3</c:f>
              <c:strCache>
                <c:ptCount val="1"/>
                <c:pt idx="0">
                  <c:v>Sum of Profit</c:v>
                </c:pt>
              </c:strCache>
            </c:strRef>
          </c:tx>
          <c:spPr>
            <a:solidFill>
              <a:schemeClr val="accent2"/>
            </a:solidFill>
            <a:ln>
              <a:noFill/>
            </a:ln>
            <a:effectLst/>
          </c:spPr>
          <c:invertIfNegative val="0"/>
          <c:cat>
            <c:multiLvlStrRef>
              <c:f>'M-5'!$A$4:$A$15</c:f>
              <c:multiLvlStrCache>
                <c:ptCount val="7"/>
                <c:lvl>
                  <c:pt idx="0">
                    <c:v>Boston Common</c:v>
                  </c:pt>
                  <c:pt idx="1">
                    <c:v>Chicago Metro</c:v>
                  </c:pt>
                  <c:pt idx="2">
                    <c:v>Detroit Hub</c:v>
                  </c:pt>
                  <c:pt idx="3">
                    <c:v>Atlanta Downtown</c:v>
                  </c:pt>
                  <c:pt idx="4">
                    <c:v>Miami Beach</c:v>
                  </c:pt>
                  <c:pt idx="5">
                    <c:v>LA Center</c:v>
                  </c:pt>
                  <c:pt idx="6">
                    <c:v>Seattle Wharf</c:v>
                  </c:pt>
                </c:lvl>
                <c:lvl>
                  <c:pt idx="0">
                    <c:v>East</c:v>
                  </c:pt>
                  <c:pt idx="1">
                    <c:v>North</c:v>
                  </c:pt>
                  <c:pt idx="3">
                    <c:v>South</c:v>
                  </c:pt>
                  <c:pt idx="5">
                    <c:v>West</c:v>
                  </c:pt>
                </c:lvl>
              </c:multiLvlStrCache>
            </c:multiLvlStrRef>
          </c:cat>
          <c:val>
            <c:numRef>
              <c:f>'M-5'!$C$4:$C$15</c:f>
              <c:numCache>
                <c:formatCode>General</c:formatCode>
                <c:ptCount val="7"/>
                <c:pt idx="0">
                  <c:v>158</c:v>
                </c:pt>
                <c:pt idx="1">
                  <c:v>60</c:v>
                </c:pt>
                <c:pt idx="2">
                  <c:v>190</c:v>
                </c:pt>
                <c:pt idx="3">
                  <c:v>834</c:v>
                </c:pt>
                <c:pt idx="4">
                  <c:v>140</c:v>
                </c:pt>
                <c:pt idx="5">
                  <c:v>158</c:v>
                </c:pt>
                <c:pt idx="6">
                  <c:v>130</c:v>
                </c:pt>
              </c:numCache>
            </c:numRef>
          </c:val>
          <c:extLst>
            <c:ext xmlns:c16="http://schemas.microsoft.com/office/drawing/2014/chart" uri="{C3380CC4-5D6E-409C-BE32-E72D297353CC}">
              <c16:uniqueId val="{00000000-5A49-4B9D-A627-41FF3F6DFE24}"/>
            </c:ext>
          </c:extLst>
        </c:ser>
        <c:dLbls>
          <c:showLegendKey val="0"/>
          <c:showVal val="0"/>
          <c:showCatName val="0"/>
          <c:showSerName val="0"/>
          <c:showPercent val="0"/>
          <c:showBubbleSize val="0"/>
        </c:dLbls>
        <c:gapWidth val="219"/>
        <c:axId val="1570724992"/>
        <c:axId val="1546749680"/>
      </c:barChart>
      <c:lineChart>
        <c:grouping val="standard"/>
        <c:varyColors val="0"/>
        <c:ser>
          <c:idx val="0"/>
          <c:order val="0"/>
          <c:tx>
            <c:strRef>
              <c:f>'M-5'!$B$3</c:f>
              <c:strCache>
                <c:ptCount val="1"/>
                <c:pt idx="0">
                  <c:v>Sum of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'M-5'!$A$4:$A$15</c:f>
              <c:multiLvlStrCache>
                <c:ptCount val="7"/>
                <c:lvl>
                  <c:pt idx="0">
                    <c:v>Boston Common</c:v>
                  </c:pt>
                  <c:pt idx="1">
                    <c:v>Chicago Metro</c:v>
                  </c:pt>
                  <c:pt idx="2">
                    <c:v>Detroit Hub</c:v>
                  </c:pt>
                  <c:pt idx="3">
                    <c:v>Atlanta Downtown</c:v>
                  </c:pt>
                  <c:pt idx="4">
                    <c:v>Miami Beach</c:v>
                  </c:pt>
                  <c:pt idx="5">
                    <c:v>LA Center</c:v>
                  </c:pt>
                  <c:pt idx="6">
                    <c:v>Seattle Wharf</c:v>
                  </c:pt>
                </c:lvl>
                <c:lvl>
                  <c:pt idx="0">
                    <c:v>East</c:v>
                  </c:pt>
                  <c:pt idx="1">
                    <c:v>North</c:v>
                  </c:pt>
                  <c:pt idx="3">
                    <c:v>South</c:v>
                  </c:pt>
                  <c:pt idx="5">
                    <c:v>West</c:v>
                  </c:pt>
                </c:lvl>
              </c:multiLvlStrCache>
            </c:multiLvlStrRef>
          </c:cat>
          <c:val>
            <c:numRef>
              <c:f>'M-5'!$B$4:$B$15</c:f>
              <c:numCache>
                <c:formatCode>General</c:formatCode>
                <c:ptCount val="7"/>
                <c:pt idx="0">
                  <c:v>288</c:v>
                </c:pt>
                <c:pt idx="1">
                  <c:v>110</c:v>
                </c:pt>
                <c:pt idx="2">
                  <c:v>335</c:v>
                </c:pt>
                <c:pt idx="3">
                  <c:v>1974</c:v>
                </c:pt>
                <c:pt idx="4">
                  <c:v>230</c:v>
                </c:pt>
                <c:pt idx="5">
                  <c:v>308</c:v>
                </c:pt>
                <c:pt idx="6">
                  <c:v>220</c:v>
                </c:pt>
              </c:numCache>
            </c:numRef>
          </c:val>
          <c:smooth val="0"/>
          <c:extLst>
            <c:ext xmlns:c16="http://schemas.microsoft.com/office/drawing/2014/chart" uri="{C3380CC4-5D6E-409C-BE32-E72D297353CC}">
              <c16:uniqueId val="{00000001-5A49-4B9D-A627-41FF3F6DFE24}"/>
            </c:ext>
          </c:extLst>
        </c:ser>
        <c:dLbls>
          <c:showLegendKey val="0"/>
          <c:showVal val="0"/>
          <c:showCatName val="0"/>
          <c:showSerName val="0"/>
          <c:showPercent val="0"/>
          <c:showBubbleSize val="0"/>
        </c:dLbls>
        <c:marker val="1"/>
        <c:smooth val="0"/>
        <c:axId val="1570724992"/>
        <c:axId val="1546749680"/>
      </c:lineChart>
      <c:catAx>
        <c:axId val="157072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749680"/>
        <c:crosses val="autoZero"/>
        <c:auto val="1"/>
        <c:lblAlgn val="ctr"/>
        <c:lblOffset val="100"/>
        <c:noMultiLvlLbl val="0"/>
      </c:catAx>
      <c:valAx>
        <c:axId val="154674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72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[IIOT_Dataset.xlsx]M-4!PivotTable4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'M-4'!$B$3</c:f>
              <c:strCache>
                <c:ptCount val="1"/>
                <c:pt idx="0">
                  <c:v>Total</c:v>
                </c:pt>
              </c:strCache>
            </c:strRef>
          </c:tx>
          <c:spPr>
            <a:ln w="28575" cap="rnd">
              <a:solidFill>
                <a:schemeClr val="accent1"/>
              </a:solidFill>
              <a:round/>
            </a:ln>
            <a:effectLst/>
          </c:spPr>
          <c:marker>
            <c:symbol val="none"/>
          </c:marker>
          <c:cat>
            <c:strRef>
              <c:f>'M-4'!$A$4:$A$16</c:f>
              <c:strCache>
                <c:ptCount val="12"/>
                <c:pt idx="0">
                  <c:v>Air Fryer XL</c:v>
                </c:pt>
                <c:pt idx="1">
                  <c:v>Blender Touch</c:v>
                </c:pt>
                <c:pt idx="2">
                  <c:v>Classic Denim</c:v>
                </c:pt>
                <c:pt idx="3">
                  <c:v>Coffee Brewer</c:v>
                </c:pt>
                <c:pt idx="4">
                  <c:v>Fragrance Luxe</c:v>
                </c:pt>
                <c:pt idx="5">
                  <c:v>Hoodie Comfort</c:v>
                </c:pt>
                <c:pt idx="6">
                  <c:v>Laptop Pro</c:v>
                </c:pt>
                <c:pt idx="7">
                  <c:v>Running Shoes</c:v>
                </c:pt>
                <c:pt idx="8">
                  <c:v>Skincare Serum</c:v>
                </c:pt>
                <c:pt idx="9">
                  <c:v>Smart Watch v2</c:v>
                </c:pt>
                <c:pt idx="10">
                  <c:v>Sonic Cleanser</c:v>
                </c:pt>
                <c:pt idx="11">
                  <c:v>Wireless Buds</c:v>
                </c:pt>
              </c:strCache>
            </c:strRef>
          </c:cat>
          <c:val>
            <c:numRef>
              <c:f>'M-4'!$B$4:$B$16</c:f>
              <c:numCache>
                <c:formatCode>General</c:formatCode>
                <c:ptCount val="12"/>
                <c:pt idx="0">
                  <c:v>1500</c:v>
                </c:pt>
                <c:pt idx="1">
                  <c:v>585</c:v>
                </c:pt>
                <c:pt idx="2">
                  <c:v>640</c:v>
                </c:pt>
                <c:pt idx="3">
                  <c:v>1421</c:v>
                </c:pt>
                <c:pt idx="4">
                  <c:v>660</c:v>
                </c:pt>
                <c:pt idx="5">
                  <c:v>690</c:v>
                </c:pt>
                <c:pt idx="6">
                  <c:v>8000</c:v>
                </c:pt>
                <c:pt idx="7">
                  <c:v>1430</c:v>
                </c:pt>
                <c:pt idx="8">
                  <c:v>660</c:v>
                </c:pt>
                <c:pt idx="9">
                  <c:v>3500</c:v>
                </c:pt>
                <c:pt idx="10">
                  <c:v>1056</c:v>
                </c:pt>
                <c:pt idx="11">
                  <c:v>1029</c:v>
                </c:pt>
              </c:numCache>
            </c:numRef>
          </c:val>
          <c:smooth val="0"/>
          <c:extLst>
            <c:ext xmlns:c16="http://schemas.microsoft.com/office/drawing/2014/chart" uri="{C3380CC4-5D6E-409C-BE32-E72D297353CC}">
              <c16:uniqueId val="{00000000-1C73-406A-A6ED-18379C7EB821}"/>
            </c:ext>
          </c:extLst>
        </c:ser>
        <c:dLbls>
          <c:showLegendKey val="0"/>
          <c:showVal val="0"/>
          <c:showCatName val="0"/>
          <c:showSerName val="0"/>
          <c:showPercent val="0"/>
          <c:showBubbleSize val="0"/>
        </c:dLbls>
        <c:smooth val="0"/>
        <c:axId val="1570690192"/>
        <c:axId val="1546692080"/>
      </c:lineChart>
      <c:catAx>
        <c:axId val="157069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692080"/>
        <c:crosses val="autoZero"/>
        <c:auto val="1"/>
        <c:lblAlgn val="ctr"/>
        <c:lblOffset val="100"/>
        <c:noMultiLvlLbl val="0"/>
      </c:catAx>
      <c:valAx>
        <c:axId val="1546692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69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[IIOT_Dataset.xlsx]M-3!PivotTable3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'M-3'!$B$3</c:f>
              <c:strCache>
                <c:ptCount val="1"/>
                <c:pt idx="0">
                  <c:v>Total</c:v>
                </c:pt>
              </c:strCache>
            </c:strRef>
          </c:tx>
          <c:spPr>
            <a:solidFill>
              <a:schemeClr val="accent1"/>
            </a:solidFill>
            <a:ln>
              <a:noFill/>
            </a:ln>
            <a:effectLst/>
            <a:sp3d/>
          </c:spPr>
          <c:invertIfNegative val="0"/>
          <c:cat>
            <c:multiLvlStrRef>
              <c:f>'M-3'!$A$4:$A$12</c:f>
              <c:multiLvlStrCache>
                <c:ptCount val="4"/>
                <c:lvl>
                  <c:pt idx="0">
                    <c:v>Regular</c:v>
                  </c:pt>
                  <c:pt idx="1">
                    <c:v>Regular</c:v>
                  </c:pt>
                  <c:pt idx="2">
                    <c:v>Regular</c:v>
                  </c:pt>
                  <c:pt idx="3">
                    <c:v>Regular</c:v>
                  </c:pt>
                </c:lvl>
                <c:lvl>
                  <c:pt idx="0">
                    <c:v>Apparel</c:v>
                  </c:pt>
                  <c:pt idx="1">
                    <c:v>Beauty</c:v>
                  </c:pt>
                  <c:pt idx="2">
                    <c:v>Electronics</c:v>
                  </c:pt>
                  <c:pt idx="3">
                    <c:v>Home &amp; Kitchen</c:v>
                  </c:pt>
                </c:lvl>
              </c:multiLvlStrCache>
            </c:multiLvlStrRef>
          </c:cat>
          <c:val>
            <c:numRef>
              <c:f>'M-3'!$B$4:$B$12</c:f>
              <c:numCache>
                <c:formatCode>General</c:formatCode>
                <c:ptCount val="4"/>
                <c:pt idx="0">
                  <c:v>37</c:v>
                </c:pt>
                <c:pt idx="1">
                  <c:v>27</c:v>
                </c:pt>
                <c:pt idx="2">
                  <c:v>36</c:v>
                </c:pt>
                <c:pt idx="3">
                  <c:v>39</c:v>
                </c:pt>
              </c:numCache>
            </c:numRef>
          </c:val>
          <c:extLst>
            <c:ext xmlns:c16="http://schemas.microsoft.com/office/drawing/2014/chart" uri="{C3380CC4-5D6E-409C-BE32-E72D297353CC}">
              <c16:uniqueId val="{00000000-CCCA-4AA6-8E7B-F060FA8677A0}"/>
            </c:ext>
          </c:extLst>
        </c:ser>
        <c:dLbls>
          <c:showLegendKey val="0"/>
          <c:showVal val="0"/>
          <c:showCatName val="0"/>
          <c:showSerName val="0"/>
          <c:showPercent val="0"/>
          <c:showBubbleSize val="0"/>
        </c:dLbls>
        <c:gapWidth val="150"/>
        <c:shape val="box"/>
        <c:axId val="1561283184"/>
        <c:axId val="1546735760"/>
        <c:axId val="0"/>
      </c:bar3DChart>
      <c:catAx>
        <c:axId val="1561283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735760"/>
        <c:crosses val="autoZero"/>
        <c:auto val="1"/>
        <c:lblAlgn val="ctr"/>
        <c:lblOffset val="100"/>
        <c:noMultiLvlLbl val="0"/>
      </c:catAx>
      <c:valAx>
        <c:axId val="1546735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28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[IIOT_Dataset.xlsx]M-2!PivotTable2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solidFill>
              <a:schemeClr val="lt1"/>
            </a:solidFill>
          </a:ln>
          <a:effectLst/>
          <a:sp3d contourW="25400">
            <a:contourClr>
              <a:schemeClr val="lt1"/>
            </a:contourClr>
          </a:sp3d>
        </c:spPr>
      </c:pivotFmt>
      <c:pivotFmt>
        <c:idx val="3"/>
        <c:spPr>
          <a:solidFill>
            <a:schemeClr val="accent2"/>
          </a:solidFill>
          <a:ln w="25400">
            <a:solidFill>
              <a:schemeClr val="lt1"/>
            </a:solidFill>
          </a:ln>
          <a:effectLst/>
          <a:sp3d contourW="25400">
            <a:contourClr>
              <a:schemeClr val="lt1"/>
            </a:contourClr>
          </a:sp3d>
        </c:spPr>
      </c:pivotFmt>
      <c:pivotFmt>
        <c:idx val="4"/>
        <c:spPr>
          <a:solidFill>
            <a:schemeClr val="accent2"/>
          </a:solidFill>
          <a:ln w="25400">
            <a:solidFill>
              <a:schemeClr val="lt1"/>
            </a:solidFill>
          </a:ln>
          <a:effectLst/>
          <a:sp3d contourW="25400">
            <a:contourClr>
              <a:schemeClr val="lt1"/>
            </a:contourClr>
          </a:sp3d>
        </c:spPr>
      </c:pivotFmt>
      <c:pivotFmt>
        <c:idx val="5"/>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5400">
            <a:solidFill>
              <a:schemeClr val="lt1"/>
            </a:solidFill>
          </a:ln>
          <a:effectLst/>
          <a:sp3d contourW="25400">
            <a:contourClr>
              <a:schemeClr val="lt1"/>
            </a:contourClr>
          </a:sp3d>
        </c:spPr>
      </c:pivotFmt>
      <c:pivotFmt>
        <c:idx val="7"/>
        <c:spPr>
          <a:solidFill>
            <a:schemeClr val="accent2"/>
          </a:solidFill>
          <a:ln w="25400">
            <a:solidFill>
              <a:schemeClr val="lt1"/>
            </a:solidFill>
          </a:ln>
          <a:effectLst/>
          <a:sp3d contourW="25400">
            <a:contourClr>
              <a:schemeClr val="lt1"/>
            </a:contourClr>
          </a:sp3d>
        </c:spPr>
      </c:pivotFmt>
      <c:pivotFmt>
        <c:idx val="8"/>
        <c:spPr>
          <a:solidFill>
            <a:schemeClr val="accent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25402559055118112"/>
          <c:w val="0.73267585301837268"/>
          <c:h val="0.59421733741615634"/>
        </c:manualLayout>
      </c:layout>
      <c:pie3DChart>
        <c:varyColors val="1"/>
        <c:ser>
          <c:idx val="0"/>
          <c:order val="0"/>
          <c:tx>
            <c:strRef>
              <c:f>'M-2'!$B$3</c:f>
              <c:strCache>
                <c:ptCount val="1"/>
                <c:pt idx="0">
                  <c:v>Total</c:v>
                </c:pt>
              </c:strCache>
            </c:strRef>
          </c:tx>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57B3-44D3-932D-97815E82F4FA}"/>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57B3-44D3-932D-97815E82F4FA}"/>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57B3-44D3-932D-97815E82F4FA}"/>
              </c:ext>
            </c:extLst>
          </c:dPt>
          <c:cat>
            <c:strRef>
              <c:f>'M-2'!$A$4:$A$7</c:f>
              <c:strCache>
                <c:ptCount val="3"/>
                <c:pt idx="0">
                  <c:v>Premier</c:v>
                </c:pt>
                <c:pt idx="1">
                  <c:v>Regular</c:v>
                </c:pt>
                <c:pt idx="2">
                  <c:v>Value</c:v>
                </c:pt>
              </c:strCache>
            </c:strRef>
          </c:cat>
          <c:val>
            <c:numRef>
              <c:f>'M-2'!$B$4:$B$7</c:f>
              <c:numCache>
                <c:formatCode>General</c:formatCode>
                <c:ptCount val="3"/>
                <c:pt idx="0">
                  <c:v>17</c:v>
                </c:pt>
                <c:pt idx="1">
                  <c:v>35</c:v>
                </c:pt>
                <c:pt idx="2">
                  <c:v>17</c:v>
                </c:pt>
              </c:numCache>
            </c:numRef>
          </c:val>
          <c:extLst>
            <c:ext xmlns:c16="http://schemas.microsoft.com/office/drawing/2014/chart" uri="{C3380CC4-5D6E-409C-BE32-E72D297353CC}">
              <c16:uniqueId val="{00000006-57B3-44D3-932D-97815E82F4F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[IIOT_Dataset.xlsx]M-1!PivotTable1</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480229573925939E-2"/>
          <c:y val="0.15296126194410672"/>
          <c:w val="0.80945631892161607"/>
          <c:h val="0.59450395981450566"/>
        </c:manualLayout>
      </c:layout>
      <c:barChart>
        <c:barDir val="col"/>
        <c:grouping val="clustered"/>
        <c:varyColors val="0"/>
        <c:ser>
          <c:idx val="0"/>
          <c:order val="0"/>
          <c:tx>
            <c:strRef>
              <c:f>'M-1'!$B$3</c:f>
              <c:strCache>
                <c:ptCount val="1"/>
                <c:pt idx="0">
                  <c:v>Sum of Profit</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'M-1'!$A$4:$A$10</c:f>
              <c:strCache>
                <c:ptCount val="6"/>
                <c:pt idx="0">
                  <c:v>Air Fryer XL</c:v>
                </c:pt>
                <c:pt idx="1">
                  <c:v>Blender Touch</c:v>
                </c:pt>
                <c:pt idx="2">
                  <c:v>Classic Denim</c:v>
                </c:pt>
                <c:pt idx="3">
                  <c:v>Fragrance Luxe</c:v>
                </c:pt>
                <c:pt idx="4">
                  <c:v>Hoodie Comfort</c:v>
                </c:pt>
                <c:pt idx="5">
                  <c:v>Skincare Serum</c:v>
                </c:pt>
              </c:strCache>
            </c:strRef>
          </c:cat>
          <c:val>
            <c:numRef>
              <c:f>'M-1'!$B$4:$B$10</c:f>
              <c:numCache>
                <c:formatCode>General</c:formatCode>
                <c:ptCount val="6"/>
                <c:pt idx="0">
                  <c:v>1500</c:v>
                </c:pt>
                <c:pt idx="1">
                  <c:v>585</c:v>
                </c:pt>
                <c:pt idx="2">
                  <c:v>640</c:v>
                </c:pt>
                <c:pt idx="3">
                  <c:v>660</c:v>
                </c:pt>
                <c:pt idx="4">
                  <c:v>690</c:v>
                </c:pt>
                <c:pt idx="5">
                  <c:v>660</c:v>
                </c:pt>
              </c:numCache>
            </c:numRef>
          </c:val>
          <c:extLst>
            <c:ext xmlns:c16="http://schemas.microsoft.com/office/drawing/2014/chart" uri="{C3380CC4-5D6E-409C-BE32-E72D297353CC}">
              <c16:uniqueId val="{00000000-C4BC-4475-B3DB-7185A9038554}"/>
            </c:ext>
          </c:extLst>
        </c:ser>
        <c:ser>
          <c:idx val="1"/>
          <c:order val="1"/>
          <c:tx>
            <c:strRef>
              <c:f>'M-1'!$C$3</c:f>
              <c:strCache>
                <c:ptCount val="1"/>
                <c:pt idx="0">
                  <c:v>Sum of Revenue</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'M-1'!$A$4:$A$10</c:f>
              <c:strCache>
                <c:ptCount val="6"/>
                <c:pt idx="0">
                  <c:v>Air Fryer XL</c:v>
                </c:pt>
                <c:pt idx="1">
                  <c:v>Blender Touch</c:v>
                </c:pt>
                <c:pt idx="2">
                  <c:v>Classic Denim</c:v>
                </c:pt>
                <c:pt idx="3">
                  <c:v>Fragrance Luxe</c:v>
                </c:pt>
                <c:pt idx="4">
                  <c:v>Hoodie Comfort</c:v>
                </c:pt>
                <c:pt idx="5">
                  <c:v>Skincare Serum</c:v>
                </c:pt>
              </c:strCache>
            </c:strRef>
          </c:cat>
          <c:val>
            <c:numRef>
              <c:f>'M-1'!$C$4:$C$10</c:f>
              <c:numCache>
                <c:formatCode>General</c:formatCode>
                <c:ptCount val="6"/>
                <c:pt idx="0">
                  <c:v>3000</c:v>
                </c:pt>
                <c:pt idx="1">
                  <c:v>975</c:v>
                </c:pt>
                <c:pt idx="2">
                  <c:v>960</c:v>
                </c:pt>
                <c:pt idx="3">
                  <c:v>1045</c:v>
                </c:pt>
                <c:pt idx="4">
                  <c:v>1265</c:v>
                </c:pt>
                <c:pt idx="5">
                  <c:v>990</c:v>
                </c:pt>
              </c:numCache>
            </c:numRef>
          </c:val>
          <c:extLst>
            <c:ext xmlns:c16="http://schemas.microsoft.com/office/drawing/2014/chart" uri="{C3380CC4-5D6E-409C-BE32-E72D297353CC}">
              <c16:uniqueId val="{00000001-C4BC-4475-B3DB-7185A9038554}"/>
            </c:ext>
          </c:extLst>
        </c:ser>
        <c:dLbls>
          <c:dLblPos val="outEnd"/>
          <c:showLegendKey val="0"/>
          <c:showVal val="1"/>
          <c:showCatName val="0"/>
          <c:showSerName val="0"/>
          <c:showPercent val="0"/>
          <c:showBubbleSize val="0"/>
        </c:dLbls>
        <c:gapWidth val="444"/>
        <c:axId val="605076192"/>
        <c:axId val="1546781360"/>
      </c:barChart>
      <c:catAx>
        <c:axId val="605076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46781360"/>
        <c:crosses val="autoZero"/>
        <c:auto val="1"/>
        <c:lblAlgn val="ctr"/>
        <c:lblOffset val="100"/>
        <c:noMultiLvlLbl val="0"/>
      </c:catAx>
      <c:valAx>
        <c:axId val="1546781360"/>
        <c:scaling>
          <c:orientation val="minMax"/>
        </c:scaling>
        <c:delete val="1"/>
        <c:axPos val="l"/>
        <c:numFmt formatCode="General" sourceLinked="1"/>
        <c:majorTickMark val="none"/>
        <c:minorTickMark val="none"/>
        <c:tickLblPos val="nextTo"/>
        <c:crossAx val="60507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[IIOT_Dataset.xlsx]M-1!PivotTable1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'M-1'!$B$3</c:f>
              <c:strCache>
                <c:ptCount val="1"/>
                <c:pt idx="0">
                  <c:v>Sum of Profit</c:v>
                </c:pt>
              </c:strCache>
            </c:strRef>
          </c:tx>
          <c:spPr>
            <a:solidFill>
              <a:schemeClr val="accent1"/>
            </a:solidFill>
            <a:ln>
              <a:noFill/>
            </a:ln>
            <a:effectLst/>
          </c:spPr>
          <c:invertIfNegative val="0"/>
          <c:cat>
            <c:strRef>
              <c:f>'M-1'!$A$4:$A$10</c:f>
              <c:strCache>
                <c:ptCount val="6"/>
                <c:pt idx="0">
                  <c:v>Air Fryer XL</c:v>
                </c:pt>
                <c:pt idx="1">
                  <c:v>Blender Touch</c:v>
                </c:pt>
                <c:pt idx="2">
                  <c:v>Classic Denim</c:v>
                </c:pt>
                <c:pt idx="3">
                  <c:v>Fragrance Luxe</c:v>
                </c:pt>
                <c:pt idx="4">
                  <c:v>Hoodie Comfort</c:v>
                </c:pt>
                <c:pt idx="5">
                  <c:v>Skincare Serum</c:v>
                </c:pt>
              </c:strCache>
            </c:strRef>
          </c:cat>
          <c:val>
            <c:numRef>
              <c:f>'M-1'!$B$4:$B$10</c:f>
              <c:numCache>
                <c:formatCode>General</c:formatCode>
                <c:ptCount val="6"/>
                <c:pt idx="0">
                  <c:v>1500</c:v>
                </c:pt>
                <c:pt idx="1">
                  <c:v>585</c:v>
                </c:pt>
                <c:pt idx="2">
                  <c:v>640</c:v>
                </c:pt>
                <c:pt idx="3">
                  <c:v>660</c:v>
                </c:pt>
                <c:pt idx="4">
                  <c:v>690</c:v>
                </c:pt>
                <c:pt idx="5">
                  <c:v>660</c:v>
                </c:pt>
              </c:numCache>
            </c:numRef>
          </c:val>
          <c:extLst>
            <c:ext xmlns:c16="http://schemas.microsoft.com/office/drawing/2014/chart" uri="{C3380CC4-5D6E-409C-BE32-E72D297353CC}">
              <c16:uniqueId val="{00000000-2E13-44F5-AEA4-72BC4B29A992}"/>
            </c:ext>
          </c:extLst>
        </c:ser>
        <c:ser>
          <c:idx val="1"/>
          <c:order val="1"/>
          <c:tx>
            <c:strRef>
              <c:f>'M-1'!$C$3</c:f>
              <c:strCache>
                <c:ptCount val="1"/>
                <c:pt idx="0">
                  <c:v>Sum of Revenue</c:v>
                </c:pt>
              </c:strCache>
            </c:strRef>
          </c:tx>
          <c:spPr>
            <a:solidFill>
              <a:schemeClr val="accent2"/>
            </a:solidFill>
            <a:ln>
              <a:noFill/>
            </a:ln>
            <a:effectLst/>
          </c:spPr>
          <c:invertIfNegative val="0"/>
          <c:cat>
            <c:strRef>
              <c:f>'M-1'!$A$4:$A$10</c:f>
              <c:strCache>
                <c:ptCount val="6"/>
                <c:pt idx="0">
                  <c:v>Air Fryer XL</c:v>
                </c:pt>
                <c:pt idx="1">
                  <c:v>Blender Touch</c:v>
                </c:pt>
                <c:pt idx="2">
                  <c:v>Classic Denim</c:v>
                </c:pt>
                <c:pt idx="3">
                  <c:v>Fragrance Luxe</c:v>
                </c:pt>
                <c:pt idx="4">
                  <c:v>Hoodie Comfort</c:v>
                </c:pt>
                <c:pt idx="5">
                  <c:v>Skincare Serum</c:v>
                </c:pt>
              </c:strCache>
            </c:strRef>
          </c:cat>
          <c:val>
            <c:numRef>
              <c:f>'M-1'!$C$4:$C$10</c:f>
              <c:numCache>
                <c:formatCode>General</c:formatCode>
                <c:ptCount val="6"/>
                <c:pt idx="0">
                  <c:v>3000</c:v>
                </c:pt>
                <c:pt idx="1">
                  <c:v>975</c:v>
                </c:pt>
                <c:pt idx="2">
                  <c:v>960</c:v>
                </c:pt>
                <c:pt idx="3">
                  <c:v>1045</c:v>
                </c:pt>
                <c:pt idx="4">
                  <c:v>1265</c:v>
                </c:pt>
                <c:pt idx="5">
                  <c:v>990</c:v>
                </c:pt>
              </c:numCache>
            </c:numRef>
          </c:val>
          <c:extLst>
            <c:ext xmlns:c16="http://schemas.microsoft.com/office/drawing/2014/chart" uri="{C3380CC4-5D6E-409C-BE32-E72D297353CC}">
              <c16:uniqueId val="{00000001-2E13-44F5-AEA4-72BC4B29A992}"/>
            </c:ext>
          </c:extLst>
        </c:ser>
        <c:dLbls>
          <c:showLegendKey val="0"/>
          <c:showVal val="0"/>
          <c:showCatName val="0"/>
          <c:showSerName val="0"/>
          <c:showPercent val="0"/>
          <c:showBubbleSize val="0"/>
        </c:dLbls>
        <c:gapWidth val="219"/>
        <c:overlap val="-27"/>
        <c:axId val="605076192"/>
        <c:axId val="1546781360"/>
      </c:barChart>
      <c:catAx>
        <c:axId val="60507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781360"/>
        <c:crosses val="autoZero"/>
        <c:auto val="1"/>
        <c:lblAlgn val="ctr"/>
        <c:lblOffset val="100"/>
        <c:noMultiLvlLbl val="0"/>
      </c:catAx>
      <c:valAx>
        <c:axId val="1546781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07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[IIOT_Dataset.xlsx]M-2!PivotTable2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5400">
            <a:solidFill>
              <a:schemeClr val="lt1"/>
            </a:solidFill>
          </a:ln>
          <a:effectLst/>
          <a:sp3d contourW="25400">
            <a:contourClr>
              <a:schemeClr val="lt1"/>
            </a:contourClr>
          </a:sp3d>
        </c:spPr>
      </c:pivotFmt>
      <c:pivotFmt>
        <c:idx val="2"/>
        <c:spPr>
          <a:solidFill>
            <a:schemeClr val="accent2"/>
          </a:solidFill>
          <a:ln w="25400">
            <a:solidFill>
              <a:schemeClr val="lt1"/>
            </a:solidFill>
          </a:ln>
          <a:effectLst/>
          <a:sp3d contourW="25400">
            <a:contourClr>
              <a:schemeClr val="lt1"/>
            </a:contourClr>
          </a:sp3d>
        </c:spPr>
      </c:pivotFmt>
      <c:pivotFmt>
        <c:idx val="3"/>
        <c:spPr>
          <a:solidFill>
            <a:schemeClr val="accent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25402559055118112"/>
          <c:w val="0.73267585301837268"/>
          <c:h val="0.59421733741615634"/>
        </c:manualLayout>
      </c:layout>
      <c:pie3DChart>
        <c:varyColors val="1"/>
        <c:ser>
          <c:idx val="0"/>
          <c:order val="0"/>
          <c:tx>
            <c:strRef>
              <c:f>'M-2'!$B$3</c:f>
              <c:strCache>
                <c:ptCount val="1"/>
                <c:pt idx="0">
                  <c:v>Total</c:v>
                </c:pt>
              </c:strCache>
            </c:strRef>
          </c:tx>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04F2-43E6-BA19-F54AC9E076E9}"/>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04F2-43E6-BA19-F54AC9E076E9}"/>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04F2-43E6-BA19-F54AC9E076E9}"/>
              </c:ext>
            </c:extLst>
          </c:dPt>
          <c:cat>
            <c:strRef>
              <c:f>'M-2'!$A$4:$A$7</c:f>
              <c:strCache>
                <c:ptCount val="3"/>
                <c:pt idx="0">
                  <c:v>Premier</c:v>
                </c:pt>
                <c:pt idx="1">
                  <c:v>Regular</c:v>
                </c:pt>
                <c:pt idx="2">
                  <c:v>Value</c:v>
                </c:pt>
              </c:strCache>
            </c:strRef>
          </c:cat>
          <c:val>
            <c:numRef>
              <c:f>'M-2'!$B$4:$B$7</c:f>
              <c:numCache>
                <c:formatCode>General</c:formatCode>
                <c:ptCount val="3"/>
                <c:pt idx="0">
                  <c:v>17</c:v>
                </c:pt>
                <c:pt idx="1">
                  <c:v>35</c:v>
                </c:pt>
                <c:pt idx="2">
                  <c:v>17</c:v>
                </c:pt>
              </c:numCache>
            </c:numRef>
          </c:val>
          <c:extLst>
            <c:ext xmlns:c16="http://schemas.microsoft.com/office/drawing/2014/chart" uri="{C3380CC4-5D6E-409C-BE32-E72D297353CC}">
              <c16:uniqueId val="{00000000-3012-4FE6-B81F-275D7B5AA16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[IIOT_Dataset.xlsx]M-3!PivotTable3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'M-3'!$B$3</c:f>
              <c:strCache>
                <c:ptCount val="1"/>
                <c:pt idx="0">
                  <c:v>Total</c:v>
                </c:pt>
              </c:strCache>
            </c:strRef>
          </c:tx>
          <c:spPr>
            <a:solidFill>
              <a:schemeClr val="accent1"/>
            </a:solidFill>
            <a:ln>
              <a:noFill/>
            </a:ln>
            <a:effectLst/>
            <a:sp3d/>
          </c:spPr>
          <c:invertIfNegative val="0"/>
          <c:cat>
            <c:multiLvlStrRef>
              <c:f>'M-3'!$A$4:$A$12</c:f>
              <c:multiLvlStrCache>
                <c:ptCount val="4"/>
                <c:lvl>
                  <c:pt idx="0">
                    <c:v>Regular</c:v>
                  </c:pt>
                  <c:pt idx="1">
                    <c:v>Regular</c:v>
                  </c:pt>
                  <c:pt idx="2">
                    <c:v>Regular</c:v>
                  </c:pt>
                  <c:pt idx="3">
                    <c:v>Regular</c:v>
                  </c:pt>
                </c:lvl>
                <c:lvl>
                  <c:pt idx="0">
                    <c:v>Apparel</c:v>
                  </c:pt>
                  <c:pt idx="1">
                    <c:v>Beauty</c:v>
                  </c:pt>
                  <c:pt idx="2">
                    <c:v>Electronics</c:v>
                  </c:pt>
                  <c:pt idx="3">
                    <c:v>Home &amp; Kitchen</c:v>
                  </c:pt>
                </c:lvl>
              </c:multiLvlStrCache>
            </c:multiLvlStrRef>
          </c:cat>
          <c:val>
            <c:numRef>
              <c:f>'M-3'!$B$4:$B$12</c:f>
              <c:numCache>
                <c:formatCode>General</c:formatCode>
                <c:ptCount val="4"/>
                <c:pt idx="0">
                  <c:v>37</c:v>
                </c:pt>
                <c:pt idx="1">
                  <c:v>27</c:v>
                </c:pt>
                <c:pt idx="2">
                  <c:v>36</c:v>
                </c:pt>
                <c:pt idx="3">
                  <c:v>39</c:v>
                </c:pt>
              </c:numCache>
            </c:numRef>
          </c:val>
          <c:extLst>
            <c:ext xmlns:c16="http://schemas.microsoft.com/office/drawing/2014/chart" uri="{C3380CC4-5D6E-409C-BE32-E72D297353CC}">
              <c16:uniqueId val="{00000000-6DA9-4CD6-AC3B-29D1AE906658}"/>
            </c:ext>
          </c:extLst>
        </c:ser>
        <c:dLbls>
          <c:showLegendKey val="0"/>
          <c:showVal val="0"/>
          <c:showCatName val="0"/>
          <c:showSerName val="0"/>
          <c:showPercent val="0"/>
          <c:showBubbleSize val="0"/>
        </c:dLbls>
        <c:gapWidth val="150"/>
        <c:shape val="box"/>
        <c:axId val="1561283184"/>
        <c:axId val="1546735760"/>
        <c:axId val="0"/>
      </c:bar3DChart>
      <c:catAx>
        <c:axId val="1561283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735760"/>
        <c:crosses val="autoZero"/>
        <c:auto val="1"/>
        <c:lblAlgn val="ctr"/>
        <c:lblOffset val="100"/>
        <c:noMultiLvlLbl val="0"/>
      </c:catAx>
      <c:valAx>
        <c:axId val="1546735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28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[IIOT_Dataset.xlsx]M-4!PivotTable4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'M-4'!$B$3</c:f>
              <c:strCache>
                <c:ptCount val="1"/>
                <c:pt idx="0">
                  <c:v>Total</c:v>
                </c:pt>
              </c:strCache>
            </c:strRef>
          </c:tx>
          <c:spPr>
            <a:ln w="28575" cap="rnd">
              <a:solidFill>
                <a:schemeClr val="accent1"/>
              </a:solidFill>
              <a:round/>
            </a:ln>
            <a:effectLst/>
          </c:spPr>
          <c:marker>
            <c:symbol val="none"/>
          </c:marker>
          <c:cat>
            <c:strRef>
              <c:f>'M-4'!$A$4:$A$16</c:f>
              <c:strCache>
                <c:ptCount val="12"/>
                <c:pt idx="0">
                  <c:v>Air Fryer XL</c:v>
                </c:pt>
                <c:pt idx="1">
                  <c:v>Blender Touch</c:v>
                </c:pt>
                <c:pt idx="2">
                  <c:v>Classic Denim</c:v>
                </c:pt>
                <c:pt idx="3">
                  <c:v>Coffee Brewer</c:v>
                </c:pt>
                <c:pt idx="4">
                  <c:v>Fragrance Luxe</c:v>
                </c:pt>
                <c:pt idx="5">
                  <c:v>Hoodie Comfort</c:v>
                </c:pt>
                <c:pt idx="6">
                  <c:v>Laptop Pro</c:v>
                </c:pt>
                <c:pt idx="7">
                  <c:v>Running Shoes</c:v>
                </c:pt>
                <c:pt idx="8">
                  <c:v>Skincare Serum</c:v>
                </c:pt>
                <c:pt idx="9">
                  <c:v>Smart Watch v2</c:v>
                </c:pt>
                <c:pt idx="10">
                  <c:v>Sonic Cleanser</c:v>
                </c:pt>
                <c:pt idx="11">
                  <c:v>Wireless Buds</c:v>
                </c:pt>
              </c:strCache>
            </c:strRef>
          </c:cat>
          <c:val>
            <c:numRef>
              <c:f>'M-4'!$B$4:$B$16</c:f>
              <c:numCache>
                <c:formatCode>General</c:formatCode>
                <c:ptCount val="12"/>
                <c:pt idx="0">
                  <c:v>1500</c:v>
                </c:pt>
                <c:pt idx="1">
                  <c:v>585</c:v>
                </c:pt>
                <c:pt idx="2">
                  <c:v>640</c:v>
                </c:pt>
                <c:pt idx="3">
                  <c:v>1421</c:v>
                </c:pt>
                <c:pt idx="4">
                  <c:v>660</c:v>
                </c:pt>
                <c:pt idx="5">
                  <c:v>690</c:v>
                </c:pt>
                <c:pt idx="6">
                  <c:v>8000</c:v>
                </c:pt>
                <c:pt idx="7">
                  <c:v>1430</c:v>
                </c:pt>
                <c:pt idx="8">
                  <c:v>660</c:v>
                </c:pt>
                <c:pt idx="9">
                  <c:v>3500</c:v>
                </c:pt>
                <c:pt idx="10">
                  <c:v>1056</c:v>
                </c:pt>
                <c:pt idx="11">
                  <c:v>1029</c:v>
                </c:pt>
              </c:numCache>
            </c:numRef>
          </c:val>
          <c:smooth val="0"/>
          <c:extLst>
            <c:ext xmlns:c16="http://schemas.microsoft.com/office/drawing/2014/chart" uri="{C3380CC4-5D6E-409C-BE32-E72D297353CC}">
              <c16:uniqueId val="{00000000-4362-4C55-B1CA-12B2F4DC99F5}"/>
            </c:ext>
          </c:extLst>
        </c:ser>
        <c:dLbls>
          <c:showLegendKey val="0"/>
          <c:showVal val="0"/>
          <c:showCatName val="0"/>
          <c:showSerName val="0"/>
          <c:showPercent val="0"/>
          <c:showBubbleSize val="0"/>
        </c:dLbls>
        <c:smooth val="0"/>
        <c:axId val="1570690192"/>
        <c:axId val="1546692080"/>
      </c:lineChart>
      <c:catAx>
        <c:axId val="157069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692080"/>
        <c:crosses val="autoZero"/>
        <c:auto val="1"/>
        <c:lblAlgn val="ctr"/>
        <c:lblOffset val="100"/>
        <c:noMultiLvlLbl val="0"/>
      </c:catAx>
      <c:valAx>
        <c:axId val="1546692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69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[IIOT_Dataset.xlsx]M-5!PivotTable5</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'M-5'!$C$3</c:f>
              <c:strCache>
                <c:ptCount val="1"/>
                <c:pt idx="0">
                  <c:v>Sum of Profit</c:v>
                </c:pt>
              </c:strCache>
            </c:strRef>
          </c:tx>
          <c:spPr>
            <a:solidFill>
              <a:schemeClr val="accent2"/>
            </a:solidFill>
            <a:ln>
              <a:noFill/>
            </a:ln>
            <a:effectLst/>
          </c:spPr>
          <c:invertIfNegative val="0"/>
          <c:cat>
            <c:multiLvlStrRef>
              <c:f>'M-5'!$A$4:$A$15</c:f>
              <c:multiLvlStrCache>
                <c:ptCount val="7"/>
                <c:lvl>
                  <c:pt idx="0">
                    <c:v>Boston Common</c:v>
                  </c:pt>
                  <c:pt idx="1">
                    <c:v>Chicago Metro</c:v>
                  </c:pt>
                  <c:pt idx="2">
                    <c:v>Detroit Hub</c:v>
                  </c:pt>
                  <c:pt idx="3">
                    <c:v>Atlanta Downtown</c:v>
                  </c:pt>
                  <c:pt idx="4">
                    <c:v>Miami Beach</c:v>
                  </c:pt>
                  <c:pt idx="5">
                    <c:v>LA Center</c:v>
                  </c:pt>
                  <c:pt idx="6">
                    <c:v>Seattle Wharf</c:v>
                  </c:pt>
                </c:lvl>
                <c:lvl>
                  <c:pt idx="0">
                    <c:v>East</c:v>
                  </c:pt>
                  <c:pt idx="1">
                    <c:v>North</c:v>
                  </c:pt>
                  <c:pt idx="3">
                    <c:v>South</c:v>
                  </c:pt>
                  <c:pt idx="5">
                    <c:v>West</c:v>
                  </c:pt>
                </c:lvl>
              </c:multiLvlStrCache>
            </c:multiLvlStrRef>
          </c:cat>
          <c:val>
            <c:numRef>
              <c:f>'M-5'!$C$4:$C$15</c:f>
              <c:numCache>
                <c:formatCode>General</c:formatCode>
                <c:ptCount val="7"/>
                <c:pt idx="0">
                  <c:v>158</c:v>
                </c:pt>
                <c:pt idx="1">
                  <c:v>60</c:v>
                </c:pt>
                <c:pt idx="2">
                  <c:v>190</c:v>
                </c:pt>
                <c:pt idx="3">
                  <c:v>834</c:v>
                </c:pt>
                <c:pt idx="4">
                  <c:v>140</c:v>
                </c:pt>
                <c:pt idx="5">
                  <c:v>158</c:v>
                </c:pt>
                <c:pt idx="6">
                  <c:v>130</c:v>
                </c:pt>
              </c:numCache>
            </c:numRef>
          </c:val>
          <c:extLst>
            <c:ext xmlns:c16="http://schemas.microsoft.com/office/drawing/2014/chart" uri="{C3380CC4-5D6E-409C-BE32-E72D297353CC}">
              <c16:uniqueId val="{00000001-FDE8-4398-936A-D3E56EAADC3E}"/>
            </c:ext>
          </c:extLst>
        </c:ser>
        <c:dLbls>
          <c:showLegendKey val="0"/>
          <c:showVal val="0"/>
          <c:showCatName val="0"/>
          <c:showSerName val="0"/>
          <c:showPercent val="0"/>
          <c:showBubbleSize val="0"/>
        </c:dLbls>
        <c:gapWidth val="219"/>
        <c:axId val="1570724992"/>
        <c:axId val="1546749680"/>
      </c:barChart>
      <c:lineChart>
        <c:grouping val="standard"/>
        <c:varyColors val="0"/>
        <c:ser>
          <c:idx val="0"/>
          <c:order val="0"/>
          <c:tx>
            <c:strRef>
              <c:f>'M-5'!$B$3</c:f>
              <c:strCache>
                <c:ptCount val="1"/>
                <c:pt idx="0">
                  <c:v>Sum of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'M-5'!$A$4:$A$15</c:f>
              <c:multiLvlStrCache>
                <c:ptCount val="7"/>
                <c:lvl>
                  <c:pt idx="0">
                    <c:v>Boston Common</c:v>
                  </c:pt>
                  <c:pt idx="1">
                    <c:v>Chicago Metro</c:v>
                  </c:pt>
                  <c:pt idx="2">
                    <c:v>Detroit Hub</c:v>
                  </c:pt>
                  <c:pt idx="3">
                    <c:v>Atlanta Downtown</c:v>
                  </c:pt>
                  <c:pt idx="4">
                    <c:v>Miami Beach</c:v>
                  </c:pt>
                  <c:pt idx="5">
                    <c:v>LA Center</c:v>
                  </c:pt>
                  <c:pt idx="6">
                    <c:v>Seattle Wharf</c:v>
                  </c:pt>
                </c:lvl>
                <c:lvl>
                  <c:pt idx="0">
                    <c:v>East</c:v>
                  </c:pt>
                  <c:pt idx="1">
                    <c:v>North</c:v>
                  </c:pt>
                  <c:pt idx="3">
                    <c:v>South</c:v>
                  </c:pt>
                  <c:pt idx="5">
                    <c:v>West</c:v>
                  </c:pt>
                </c:lvl>
              </c:multiLvlStrCache>
            </c:multiLvlStrRef>
          </c:cat>
          <c:val>
            <c:numRef>
              <c:f>'M-5'!$B$4:$B$15</c:f>
              <c:numCache>
                <c:formatCode>General</c:formatCode>
                <c:ptCount val="7"/>
                <c:pt idx="0">
                  <c:v>288</c:v>
                </c:pt>
                <c:pt idx="1">
                  <c:v>110</c:v>
                </c:pt>
                <c:pt idx="2">
                  <c:v>335</c:v>
                </c:pt>
                <c:pt idx="3">
                  <c:v>1974</c:v>
                </c:pt>
                <c:pt idx="4">
                  <c:v>230</c:v>
                </c:pt>
                <c:pt idx="5">
                  <c:v>308</c:v>
                </c:pt>
                <c:pt idx="6">
                  <c:v>220</c:v>
                </c:pt>
              </c:numCache>
            </c:numRef>
          </c:val>
          <c:smooth val="0"/>
          <c:extLst>
            <c:ext xmlns:c16="http://schemas.microsoft.com/office/drawing/2014/chart" uri="{C3380CC4-5D6E-409C-BE32-E72D297353CC}">
              <c16:uniqueId val="{00000000-FDE8-4398-936A-D3E56EAADC3E}"/>
            </c:ext>
          </c:extLst>
        </c:ser>
        <c:dLbls>
          <c:showLegendKey val="0"/>
          <c:showVal val="0"/>
          <c:showCatName val="0"/>
          <c:showSerName val="0"/>
          <c:showPercent val="0"/>
          <c:showBubbleSize val="0"/>
        </c:dLbls>
        <c:marker val="1"/>
        <c:smooth val="0"/>
        <c:axId val="1570724992"/>
        <c:axId val="1546749680"/>
      </c:lineChart>
      <c:catAx>
        <c:axId val="157072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749680"/>
        <c:crosses val="autoZero"/>
        <c:auto val="1"/>
        <c:lblAlgn val="ctr"/>
        <c:lblOffset val="100"/>
        <c:noMultiLvlLbl val="0"/>
      </c:catAx>
      <c:valAx>
        <c:axId val="154674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72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2.xml"/><Relationship Id="rId7" Type="http://schemas.openxmlformats.org/officeDocument/2006/relationships/image" Target="../media/image2.jp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microsoft.com/office/2007/relationships/hdphoto" Target="../media/hdphoto1.wdp"/></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596348</xdr:colOff>
      <xdr:row>4</xdr:row>
      <xdr:rowOff>129396</xdr:rowOff>
    </xdr:to>
    <xdr:sp macro="" textlink="">
      <xdr:nvSpPr>
        <xdr:cNvPr id="2" name="Rectangle 1">
          <a:extLst>
            <a:ext uri="{FF2B5EF4-FFF2-40B4-BE49-F238E27FC236}">
              <a16:creationId xmlns:a16="http://schemas.microsoft.com/office/drawing/2014/main" id="{7F5F557D-3567-0985-117B-376A2E01EA79}"/>
            </a:ext>
          </a:extLst>
        </xdr:cNvPr>
        <xdr:cNvSpPr/>
      </xdr:nvSpPr>
      <xdr:spPr>
        <a:xfrm>
          <a:off x="0" y="0"/>
          <a:ext cx="12178748" cy="858266"/>
        </a:xfrm>
        <a:prstGeom prst="rect">
          <a:avLst/>
        </a:prstGeom>
        <a:solidFill>
          <a:srgbClr val="C000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84667</xdr:colOff>
      <xdr:row>0</xdr:row>
      <xdr:rowOff>78581</xdr:rowOff>
    </xdr:from>
    <xdr:to>
      <xdr:col>19</xdr:col>
      <xdr:colOff>536222</xdr:colOff>
      <xdr:row>4</xdr:row>
      <xdr:rowOff>34278</xdr:rowOff>
    </xdr:to>
    <xdr:pic>
      <xdr:nvPicPr>
        <xdr:cNvPr id="3" name="Picture 2">
          <a:extLst>
            <a:ext uri="{FF2B5EF4-FFF2-40B4-BE49-F238E27FC236}">
              <a16:creationId xmlns:a16="http://schemas.microsoft.com/office/drawing/2014/main" id="{D9D70E4C-72F5-640E-5C4B-FBE1FAFA1E85}"/>
            </a:ext>
          </a:extLst>
        </xdr:cNvPr>
        <xdr:cNvPicPr>
          <a:picLocks noChangeAspect="1"/>
        </xdr:cNvPicPr>
      </xdr:nvPicPr>
      <xdr:blipFill>
        <a:blip xmlns:r="http://schemas.openxmlformats.org/officeDocument/2006/relationships" r:embed="rId1"/>
        <a:stretch>
          <a:fillRect/>
        </a:stretch>
      </xdr:blipFill>
      <xdr:spPr>
        <a:xfrm>
          <a:off x="84667" y="78581"/>
          <a:ext cx="11980333" cy="68947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12</xdr:col>
      <xdr:colOff>139291</xdr:colOff>
      <xdr:row>31</xdr:row>
      <xdr:rowOff>106515</xdr:rowOff>
    </xdr:from>
    <xdr:to>
      <xdr:col>19</xdr:col>
      <xdr:colOff>598128</xdr:colOff>
      <xdr:row>47</xdr:row>
      <xdr:rowOff>139290</xdr:rowOff>
    </xdr:to>
    <xdr:graphicFrame macro="">
      <xdr:nvGraphicFramePr>
        <xdr:cNvPr id="5" name="Chart 4">
          <a:extLst>
            <a:ext uri="{FF2B5EF4-FFF2-40B4-BE49-F238E27FC236}">
              <a16:creationId xmlns:a16="http://schemas.microsoft.com/office/drawing/2014/main" id="{8A765BB1-EDDD-4C4B-9C0E-143483396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9939</xdr:colOff>
      <xdr:row>31</xdr:row>
      <xdr:rowOff>147484</xdr:rowOff>
    </xdr:from>
    <xdr:to>
      <xdr:col>12</xdr:col>
      <xdr:colOff>131097</xdr:colOff>
      <xdr:row>47</xdr:row>
      <xdr:rowOff>139648</xdr:rowOff>
    </xdr:to>
    <xdr:graphicFrame macro="">
      <xdr:nvGraphicFramePr>
        <xdr:cNvPr id="7" name="Chart 6">
          <a:extLst>
            <a:ext uri="{FF2B5EF4-FFF2-40B4-BE49-F238E27FC236}">
              <a16:creationId xmlns:a16="http://schemas.microsoft.com/office/drawing/2014/main" id="{F352A33C-7801-45B0-B556-A2F9B26538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9939</xdr:colOff>
      <xdr:row>16</xdr:row>
      <xdr:rowOff>179927</xdr:rowOff>
    </xdr:from>
    <xdr:to>
      <xdr:col>12</xdr:col>
      <xdr:colOff>131097</xdr:colOff>
      <xdr:row>31</xdr:row>
      <xdr:rowOff>134213</xdr:rowOff>
    </xdr:to>
    <xdr:graphicFrame macro="">
      <xdr:nvGraphicFramePr>
        <xdr:cNvPr id="9" name="Chart 8">
          <a:extLst>
            <a:ext uri="{FF2B5EF4-FFF2-40B4-BE49-F238E27FC236}">
              <a16:creationId xmlns:a16="http://schemas.microsoft.com/office/drawing/2014/main" id="{579A7E6E-4726-4631-8731-C3E89DF6B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137362</xdr:colOff>
      <xdr:row>17</xdr:row>
      <xdr:rowOff>8194</xdr:rowOff>
    </xdr:from>
    <xdr:to>
      <xdr:col>19</xdr:col>
      <xdr:colOff>596347</xdr:colOff>
      <xdr:row>31</xdr:row>
      <xdr:rowOff>119119</xdr:rowOff>
    </xdr:to>
    <xdr:graphicFrame macro="">
      <xdr:nvGraphicFramePr>
        <xdr:cNvPr id="11" name="Chart 10">
          <a:extLst>
            <a:ext uri="{FF2B5EF4-FFF2-40B4-BE49-F238E27FC236}">
              <a16:creationId xmlns:a16="http://schemas.microsoft.com/office/drawing/2014/main" id="{A1E06773-F8A9-4166-9812-E88DF979F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6627</xdr:colOff>
      <xdr:row>47</xdr:row>
      <xdr:rowOff>154004</xdr:rowOff>
    </xdr:from>
    <xdr:to>
      <xdr:col>15</xdr:col>
      <xdr:colOff>386189</xdr:colOff>
      <xdr:row>61</xdr:row>
      <xdr:rowOff>182418</xdr:rowOff>
    </xdr:to>
    <xdr:graphicFrame macro="">
      <xdr:nvGraphicFramePr>
        <xdr:cNvPr id="13" name="Chart 12">
          <a:extLst>
            <a:ext uri="{FF2B5EF4-FFF2-40B4-BE49-F238E27FC236}">
              <a16:creationId xmlns:a16="http://schemas.microsoft.com/office/drawing/2014/main" id="{DAD7F47B-7C14-41D5-A0F0-5DC56FE497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232800</xdr:colOff>
      <xdr:row>44</xdr:row>
      <xdr:rowOff>49161</xdr:rowOff>
    </xdr:from>
    <xdr:to>
      <xdr:col>3</xdr:col>
      <xdr:colOff>294238</xdr:colOff>
      <xdr:row>62</xdr:row>
      <xdr:rowOff>3975</xdr:rowOff>
    </xdr:to>
    <mc:AlternateContent xmlns:mc="http://schemas.openxmlformats.org/markup-compatibility/2006">
      <mc:Choice xmlns:a14="http://schemas.microsoft.com/office/drawing/2010/main" Requires="a14">
        <xdr:graphicFrame macro="">
          <xdr:nvGraphicFramePr>
            <xdr:cNvPr id="15" name="Product_Name 1">
              <a:extLst>
                <a:ext uri="{FF2B5EF4-FFF2-40B4-BE49-F238E27FC236}">
                  <a16:creationId xmlns:a16="http://schemas.microsoft.com/office/drawing/2014/main" id="{6C6ED46D-B751-461F-ADD5-B46B67511BA1}"/>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dr:sp macro="" textlink="">
          <xdr:nvSpPr>
            <xdr:cNvPr id="0" name=""/>
            <xdr:cNvSpPr>
              <a:spLocks noTextEdit="1"/>
            </xdr:cNvSpPr>
          </xdr:nvSpPr>
          <xdr:spPr>
            <a:xfrm>
              <a:off x="232800" y="8120717"/>
              <a:ext cx="1881771" cy="32568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261866</xdr:colOff>
      <xdr:row>25</xdr:row>
      <xdr:rowOff>154311</xdr:rowOff>
    </xdr:from>
    <xdr:to>
      <xdr:col>3</xdr:col>
      <xdr:colOff>291306</xdr:colOff>
      <xdr:row>33</xdr:row>
      <xdr:rowOff>129353</xdr:rowOff>
    </xdr:to>
    <mc:AlternateContent xmlns:mc="http://schemas.openxmlformats.org/markup-compatibility/2006">
      <mc:Choice xmlns:a14="http://schemas.microsoft.com/office/drawing/2010/main" Requires="a14">
        <xdr:graphicFrame macro="">
          <xdr:nvGraphicFramePr>
            <xdr:cNvPr id="17" name="Region 1">
              <a:extLst>
                <a:ext uri="{FF2B5EF4-FFF2-40B4-BE49-F238E27FC236}">
                  <a16:creationId xmlns:a16="http://schemas.microsoft.com/office/drawing/2014/main" id="{FD3AC068-AE4E-4D8C-8647-70DCA33153D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61866" y="4740422"/>
              <a:ext cx="1849773" cy="14425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264222</xdr:colOff>
      <xdr:row>17</xdr:row>
      <xdr:rowOff>30527</xdr:rowOff>
    </xdr:from>
    <xdr:to>
      <xdr:col>3</xdr:col>
      <xdr:colOff>299849</xdr:colOff>
      <xdr:row>23</xdr:row>
      <xdr:rowOff>163000</xdr:rowOff>
    </xdr:to>
    <mc:AlternateContent xmlns:mc="http://schemas.openxmlformats.org/markup-compatibility/2006">
      <mc:Choice xmlns:a14="http://schemas.microsoft.com/office/drawing/2010/main" Requires="a14">
        <xdr:graphicFrame macro="">
          <xdr:nvGraphicFramePr>
            <xdr:cNvPr id="19" name="Segment 1">
              <a:extLst>
                <a:ext uri="{FF2B5EF4-FFF2-40B4-BE49-F238E27FC236}">
                  <a16:creationId xmlns:a16="http://schemas.microsoft.com/office/drawing/2014/main" id="{7B62549B-A786-4124-931C-E4E8267DDCEF}"/>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264222" y="3149083"/>
              <a:ext cx="1855960" cy="12331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250862</xdr:colOff>
      <xdr:row>35</xdr:row>
      <xdr:rowOff>161983</xdr:rowOff>
    </xdr:from>
    <xdr:to>
      <xdr:col>3</xdr:col>
      <xdr:colOff>305218</xdr:colOff>
      <xdr:row>42</xdr:row>
      <xdr:rowOff>39748</xdr:rowOff>
    </xdr:to>
    <mc:AlternateContent xmlns:mc="http://schemas.openxmlformats.org/markup-compatibility/2006">
      <mc:Choice xmlns:a14="http://schemas.microsoft.com/office/drawing/2010/main" Requires="a14">
        <xdr:graphicFrame macro="">
          <xdr:nvGraphicFramePr>
            <xdr:cNvPr id="21" name="Gender 1">
              <a:extLst>
                <a:ext uri="{FF2B5EF4-FFF2-40B4-BE49-F238E27FC236}">
                  <a16:creationId xmlns:a16="http://schemas.microsoft.com/office/drawing/2014/main" id="{872BAD42-D4DA-4F5B-8DA8-5FB06A38B5A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50862" y="6582539"/>
              <a:ext cx="1874689" cy="11618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4</xdr:row>
      <xdr:rowOff>172720</xdr:rowOff>
    </xdr:from>
    <xdr:to>
      <xdr:col>20</xdr:col>
      <xdr:colOff>0</xdr:colOff>
      <xdr:row>16</xdr:row>
      <xdr:rowOff>40640</xdr:rowOff>
    </xdr:to>
    <xdr:pic>
      <xdr:nvPicPr>
        <xdr:cNvPr id="35" name="Picture 34">
          <a:extLst>
            <a:ext uri="{FF2B5EF4-FFF2-40B4-BE49-F238E27FC236}">
              <a16:creationId xmlns:a16="http://schemas.microsoft.com/office/drawing/2014/main" id="{B5C77DED-CAB7-677A-76D5-21A49F5890E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8580" y="901590"/>
          <a:ext cx="12123420" cy="2054528"/>
        </a:xfrm>
        <a:prstGeom prst="rect">
          <a:avLst/>
        </a:prstGeom>
      </xdr:spPr>
    </xdr:pic>
    <xdr:clientData/>
  </xdr:twoCellAnchor>
  <xdr:twoCellAnchor>
    <xdr:from>
      <xdr:col>4</xdr:col>
      <xdr:colOff>533046</xdr:colOff>
      <xdr:row>7</xdr:row>
      <xdr:rowOff>104259</xdr:rowOff>
    </xdr:from>
    <xdr:to>
      <xdr:col>9</xdr:col>
      <xdr:colOff>78504</xdr:colOff>
      <xdr:row>13</xdr:row>
      <xdr:rowOff>106680</xdr:rowOff>
    </xdr:to>
    <xdr:sp macro="" textlink="">
      <xdr:nvSpPr>
        <xdr:cNvPr id="37" name="Rectangle: Rounded Corners 36">
          <a:extLst>
            <a:ext uri="{FF2B5EF4-FFF2-40B4-BE49-F238E27FC236}">
              <a16:creationId xmlns:a16="http://schemas.microsoft.com/office/drawing/2014/main" id="{80EF2CD6-65AC-40CA-A0FB-81140875AAE4}"/>
            </a:ext>
          </a:extLst>
        </xdr:cNvPr>
        <xdr:cNvSpPr/>
      </xdr:nvSpPr>
      <xdr:spPr>
        <a:xfrm>
          <a:off x="2971446" y="1384419"/>
          <a:ext cx="2593458" cy="1099701"/>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400" b="1"/>
            <a:t>Total Revenue</a:t>
          </a:r>
          <a:r>
            <a:rPr lang="en-US" sz="2400" b="1" u="none"/>
            <a:t>(</a:t>
          </a:r>
          <a:r>
            <a:rPr lang="en-US" sz="2400" b="1" i="0">
              <a:solidFill>
                <a:schemeClr val="dk1"/>
              </a:solidFill>
              <a:effectLst/>
              <a:latin typeface="+mn-lt"/>
              <a:ea typeface="+mn-ea"/>
              <a:cs typeface="+mn-cs"/>
            </a:rPr>
            <a:t>₹</a:t>
          </a:r>
          <a:r>
            <a:rPr lang="en-US" sz="2400" b="1" u="none"/>
            <a:t>)</a:t>
          </a:r>
        </a:p>
      </xdr:txBody>
    </xdr:sp>
    <xdr:clientData/>
  </xdr:twoCellAnchor>
  <xdr:twoCellAnchor>
    <xdr:from>
      <xdr:col>9</xdr:col>
      <xdr:colOff>464820</xdr:colOff>
      <xdr:row>7</xdr:row>
      <xdr:rowOff>101600</xdr:rowOff>
    </xdr:from>
    <xdr:to>
      <xdr:col>14</xdr:col>
      <xdr:colOff>239553</xdr:colOff>
      <xdr:row>13</xdr:row>
      <xdr:rowOff>75393</xdr:rowOff>
    </xdr:to>
    <xdr:sp macro="" textlink="">
      <xdr:nvSpPr>
        <xdr:cNvPr id="39" name="Rectangle: Rounded Corners 38">
          <a:extLst>
            <a:ext uri="{FF2B5EF4-FFF2-40B4-BE49-F238E27FC236}">
              <a16:creationId xmlns:a16="http://schemas.microsoft.com/office/drawing/2014/main" id="{A77F2245-4586-4B84-8653-6E10A797F6AC}"/>
            </a:ext>
          </a:extLst>
        </xdr:cNvPr>
        <xdr:cNvSpPr/>
      </xdr:nvSpPr>
      <xdr:spPr>
        <a:xfrm>
          <a:off x="5951220" y="1381760"/>
          <a:ext cx="2822733" cy="1071073"/>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400" b="1">
              <a:solidFill>
                <a:schemeClr val="tx1"/>
              </a:solidFill>
            </a:rPr>
            <a:t>Total Quantity Sold</a:t>
          </a:r>
        </a:p>
      </xdr:txBody>
    </xdr:sp>
    <xdr:clientData/>
  </xdr:twoCellAnchor>
  <xdr:twoCellAnchor>
    <xdr:from>
      <xdr:col>15</xdr:col>
      <xdr:colOff>90496</xdr:colOff>
      <xdr:row>7</xdr:row>
      <xdr:rowOff>98824</xdr:rowOff>
    </xdr:from>
    <xdr:to>
      <xdr:col>19</xdr:col>
      <xdr:colOff>183262</xdr:colOff>
      <xdr:row>13</xdr:row>
      <xdr:rowOff>70726</xdr:rowOff>
    </xdr:to>
    <xdr:sp macro="" textlink="">
      <xdr:nvSpPr>
        <xdr:cNvPr id="41" name="Rectangle: Rounded Corners 40">
          <a:extLst>
            <a:ext uri="{FF2B5EF4-FFF2-40B4-BE49-F238E27FC236}">
              <a16:creationId xmlns:a16="http://schemas.microsoft.com/office/drawing/2014/main" id="{4F21AAD9-4FA2-402E-BC93-038F8D9BBA35}"/>
            </a:ext>
          </a:extLst>
        </xdr:cNvPr>
        <xdr:cNvSpPr/>
      </xdr:nvSpPr>
      <xdr:spPr>
        <a:xfrm>
          <a:off x="9234496" y="1378984"/>
          <a:ext cx="2531166" cy="1069182"/>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400" b="1">
              <a:solidFill>
                <a:schemeClr val="tx1"/>
              </a:solidFill>
            </a:rPr>
            <a:t>Total Profit</a:t>
          </a:r>
          <a:r>
            <a:rPr lang="en-US" sz="2400" b="1">
              <a:solidFill>
                <a:schemeClr val="dk1"/>
              </a:solidFill>
              <a:effectLst/>
              <a:latin typeface="+mn-lt"/>
              <a:ea typeface="+mn-ea"/>
              <a:cs typeface="+mn-cs"/>
            </a:rPr>
            <a:t>(</a:t>
          </a:r>
          <a:r>
            <a:rPr lang="en-US" sz="2400" b="1" i="0">
              <a:solidFill>
                <a:schemeClr val="dk1"/>
              </a:solidFill>
              <a:effectLst/>
              <a:latin typeface="+mn-lt"/>
              <a:ea typeface="+mn-ea"/>
              <a:cs typeface="+mn-cs"/>
            </a:rPr>
            <a:t>₹</a:t>
          </a:r>
          <a:r>
            <a:rPr lang="en-US" sz="2400" b="1">
              <a:solidFill>
                <a:schemeClr val="dk1"/>
              </a:solidFill>
              <a:effectLst/>
              <a:latin typeface="+mn-lt"/>
              <a:ea typeface="+mn-ea"/>
              <a:cs typeface="+mn-cs"/>
            </a:rPr>
            <a:t>)</a:t>
          </a:r>
          <a:endParaRPr lang="en-US" sz="2400" b="1">
            <a:solidFill>
              <a:schemeClr val="tx1"/>
            </a:solidFill>
          </a:endParaRPr>
        </a:p>
      </xdr:txBody>
    </xdr:sp>
    <xdr:clientData/>
  </xdr:twoCellAnchor>
  <xdr:twoCellAnchor>
    <xdr:from>
      <xdr:col>5</xdr:col>
      <xdr:colOff>125819</xdr:colOff>
      <xdr:row>10</xdr:row>
      <xdr:rowOff>86478</xdr:rowOff>
    </xdr:from>
    <xdr:to>
      <xdr:col>8</xdr:col>
      <xdr:colOff>400670</xdr:colOff>
      <xdr:row>12</xdr:row>
      <xdr:rowOff>142022</xdr:rowOff>
    </xdr:to>
    <xdr:sp macro="" textlink="KPI_Formula!$A$4">
      <xdr:nvSpPr>
        <xdr:cNvPr id="45" name="Rectangle 44">
          <a:extLst>
            <a:ext uri="{FF2B5EF4-FFF2-40B4-BE49-F238E27FC236}">
              <a16:creationId xmlns:a16="http://schemas.microsoft.com/office/drawing/2014/main" id="{1AFB2F33-6804-417F-A329-86F5E20E27E1}"/>
            </a:ext>
          </a:extLst>
        </xdr:cNvPr>
        <xdr:cNvSpPr/>
      </xdr:nvSpPr>
      <xdr:spPr>
        <a:xfrm>
          <a:off x="3138377" y="1858571"/>
          <a:ext cx="2082386" cy="409963"/>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B5824770-FA58-40C9-96C3-3AFA6374FCD5}" type="TxLink">
            <a:rPr lang="en-US" sz="2000" b="1" i="0" u="none" strike="noStrike">
              <a:solidFill>
                <a:schemeClr val="accent2">
                  <a:lumMod val="50000"/>
                </a:schemeClr>
              </a:solidFill>
              <a:latin typeface="Aptos Narrow"/>
              <a:ea typeface="Calibri"/>
              <a:cs typeface="Calibri"/>
            </a:rPr>
            <a:pPr algn="ctr"/>
            <a:t>49721</a:t>
          </a:fld>
          <a:endParaRPr lang="en-US" sz="2000" b="1">
            <a:solidFill>
              <a:schemeClr val="accent2">
                <a:lumMod val="50000"/>
              </a:schemeClr>
            </a:solidFill>
          </a:endParaRPr>
        </a:p>
      </xdr:txBody>
    </xdr:sp>
    <xdr:clientData/>
  </xdr:twoCellAnchor>
  <xdr:twoCellAnchor>
    <xdr:from>
      <xdr:col>10</xdr:col>
      <xdr:colOff>243840</xdr:colOff>
      <xdr:row>10</xdr:row>
      <xdr:rowOff>53340</xdr:rowOff>
    </xdr:from>
    <xdr:to>
      <xdr:col>13</xdr:col>
      <xdr:colOff>492760</xdr:colOff>
      <xdr:row>12</xdr:row>
      <xdr:rowOff>114555</xdr:rowOff>
    </xdr:to>
    <xdr:sp macro="" textlink="KPI_Formula!$C$4">
      <xdr:nvSpPr>
        <xdr:cNvPr id="47" name="Rectangle 46">
          <a:extLst>
            <a:ext uri="{FF2B5EF4-FFF2-40B4-BE49-F238E27FC236}">
              <a16:creationId xmlns:a16="http://schemas.microsoft.com/office/drawing/2014/main" id="{0E14DD0A-E4F2-415F-9C80-2C83A442D57D}"/>
            </a:ext>
          </a:extLst>
        </xdr:cNvPr>
        <xdr:cNvSpPr/>
      </xdr:nvSpPr>
      <xdr:spPr>
        <a:xfrm>
          <a:off x="6339840" y="1882140"/>
          <a:ext cx="2077720" cy="42697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20D786AF-3508-42EE-8777-5F77C16DB83A}" type="TxLink">
            <a:rPr lang="en-US" sz="2000" b="1" i="0" u="none" strike="noStrike">
              <a:solidFill>
                <a:schemeClr val="accent2">
                  <a:lumMod val="50000"/>
                </a:schemeClr>
              </a:solidFill>
              <a:latin typeface="Aptos Narrow"/>
              <a:ea typeface="Calibri"/>
              <a:cs typeface="Calibri"/>
            </a:rPr>
            <a:pPr algn="ctr"/>
            <a:t>261</a:t>
          </a:fld>
          <a:endParaRPr lang="en-US" sz="2000" b="1">
            <a:solidFill>
              <a:schemeClr val="accent2">
                <a:lumMod val="50000"/>
              </a:schemeClr>
            </a:solidFill>
          </a:endParaRPr>
        </a:p>
      </xdr:txBody>
    </xdr:sp>
    <xdr:clientData/>
  </xdr:twoCellAnchor>
  <xdr:twoCellAnchor>
    <xdr:from>
      <xdr:col>15</xdr:col>
      <xdr:colOff>600208</xdr:colOff>
      <xdr:row>10</xdr:row>
      <xdr:rowOff>40226</xdr:rowOff>
    </xdr:from>
    <xdr:to>
      <xdr:col>18</xdr:col>
      <xdr:colOff>340891</xdr:colOff>
      <xdr:row>12</xdr:row>
      <xdr:rowOff>116781</xdr:rowOff>
    </xdr:to>
    <xdr:sp macro="" textlink="KPI_Formula!$B$4">
      <xdr:nvSpPr>
        <xdr:cNvPr id="49" name="Rectangle 48">
          <a:extLst>
            <a:ext uri="{FF2B5EF4-FFF2-40B4-BE49-F238E27FC236}">
              <a16:creationId xmlns:a16="http://schemas.microsoft.com/office/drawing/2014/main" id="{E315875E-444F-49DA-AE8A-3158D44A9F9E}"/>
            </a:ext>
          </a:extLst>
        </xdr:cNvPr>
        <xdr:cNvSpPr/>
      </xdr:nvSpPr>
      <xdr:spPr>
        <a:xfrm>
          <a:off x="9744208" y="1869026"/>
          <a:ext cx="1569483" cy="44231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442DFFAA-FAB3-4182-B393-6D7EEC60EC59}" type="TxLink">
            <a:rPr lang="en-US" sz="2000" b="1" i="0" u="none" strike="noStrike">
              <a:solidFill>
                <a:schemeClr val="accent2">
                  <a:lumMod val="50000"/>
                </a:schemeClr>
              </a:solidFill>
              <a:latin typeface="Aptos Narrow"/>
              <a:ea typeface="Calibri"/>
              <a:cs typeface="Calibri"/>
            </a:rPr>
            <a:pPr algn="ctr"/>
            <a:t>21171</a:t>
          </a:fld>
          <a:endParaRPr lang="en-US" sz="2000" b="1">
            <a:solidFill>
              <a:schemeClr val="accent2">
                <a:lumMod val="50000"/>
              </a:schemeClr>
            </a:solidFill>
          </a:endParaRPr>
        </a:p>
      </xdr:txBody>
    </xdr:sp>
    <xdr:clientData/>
  </xdr:twoCellAnchor>
  <xdr:twoCellAnchor editAs="oneCell">
    <xdr:from>
      <xdr:col>0</xdr:col>
      <xdr:colOff>195384</xdr:colOff>
      <xdr:row>5</xdr:row>
      <xdr:rowOff>152400</xdr:rowOff>
    </xdr:from>
    <xdr:to>
      <xdr:col>4</xdr:col>
      <xdr:colOff>156307</xdr:colOff>
      <xdr:row>15</xdr:row>
      <xdr:rowOff>58616</xdr:rowOff>
    </xdr:to>
    <xdr:pic>
      <xdr:nvPicPr>
        <xdr:cNvPr id="53" name="Picture 52">
          <a:extLst>
            <a:ext uri="{FF2B5EF4-FFF2-40B4-BE49-F238E27FC236}">
              <a16:creationId xmlns:a16="http://schemas.microsoft.com/office/drawing/2014/main" id="{47FEAF0C-631E-B440-4FBD-0661B13B86BA}"/>
            </a:ext>
          </a:extLst>
        </xdr:cNvPr>
        <xdr:cNvPicPr>
          <a:picLocks noChangeAspect="1"/>
        </xdr:cNvPicPr>
      </xdr:nvPicPr>
      <xdr:blipFill>
        <a:blip xmlns:r="http://schemas.openxmlformats.org/officeDocument/2006/relationships" r:embed="rId8">
          <a:alphaModFix amt="70000"/>
          <a:extLst>
            <a:ext uri="{BEBA8EAE-BF5A-486C-A8C5-ECC9F3942E4B}">
              <a14:imgProps xmlns:a14="http://schemas.microsoft.com/office/drawing/2010/main">
                <a14:imgLayer r:embed="rId9">
                  <a14:imgEffect>
                    <a14:artisticPhotocopy/>
                  </a14:imgEffect>
                </a14:imgLayer>
              </a14:imgProps>
            </a:ext>
            <a:ext uri="{28A0092B-C50C-407E-A947-70E740481C1C}">
              <a14:useLocalDpi xmlns:a14="http://schemas.microsoft.com/office/drawing/2010/main" val="0"/>
            </a:ext>
          </a:extLst>
        </a:blip>
        <a:stretch>
          <a:fillRect/>
        </a:stretch>
      </xdr:blipFill>
      <xdr:spPr>
        <a:xfrm>
          <a:off x="195384" y="1063487"/>
          <a:ext cx="2399323" cy="1728390"/>
        </a:xfrm>
        <a:prstGeom prst="rect">
          <a:avLst/>
        </a:prstGeom>
      </xdr:spPr>
    </xdr:pic>
    <xdr:clientData/>
  </xdr:twoCellAnchor>
  <xdr:twoCellAnchor>
    <xdr:from>
      <xdr:col>16</xdr:col>
      <xdr:colOff>53340</xdr:colOff>
      <xdr:row>48</xdr:row>
      <xdr:rowOff>83820</xdr:rowOff>
    </xdr:from>
    <xdr:to>
      <xdr:col>19</xdr:col>
      <xdr:colOff>604982</xdr:colOff>
      <xdr:row>62</xdr:row>
      <xdr:rowOff>4618</xdr:rowOff>
    </xdr:to>
    <xdr:sp macro="" textlink="">
      <xdr:nvSpPr>
        <xdr:cNvPr id="4" name="Rectangle: Rounded Corners 3">
          <a:extLst>
            <a:ext uri="{FF2B5EF4-FFF2-40B4-BE49-F238E27FC236}">
              <a16:creationId xmlns:a16="http://schemas.microsoft.com/office/drawing/2014/main" id="{2054A18E-A6AF-4473-AC6A-D5EDFBCA3548}"/>
            </a:ext>
          </a:extLst>
        </xdr:cNvPr>
        <xdr:cNvSpPr/>
      </xdr:nvSpPr>
      <xdr:spPr>
        <a:xfrm>
          <a:off x="9806940" y="8839893"/>
          <a:ext cx="2380442" cy="2474652"/>
        </a:xfrm>
        <a:prstGeom prst="roundRect">
          <a:avLst/>
        </a:prstGeom>
        <a:ln w="3175">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400" b="1">
              <a:solidFill>
                <a:schemeClr val="tx1"/>
              </a:solidFill>
            </a:rPr>
            <a:t>Key Insights</a:t>
          </a:r>
        </a:p>
        <a:p>
          <a:pPr algn="l"/>
          <a:endParaRPr lang="en-US" sz="1200" b="0" baseline="0">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600" b="1" i="0">
              <a:solidFill>
                <a:schemeClr val="dk1"/>
              </a:solidFill>
              <a:effectLst/>
              <a:latin typeface="+mn-lt"/>
              <a:ea typeface="+mn-ea"/>
              <a:cs typeface="+mn-cs"/>
            </a:rPr>
            <a:t>📈 </a:t>
          </a:r>
          <a:r>
            <a:rPr lang="en-US" sz="1600" b="1" baseline="0">
              <a:solidFill>
                <a:schemeClr val="tx1"/>
              </a:solidFill>
            </a:rPr>
            <a:t>Revenue Growth</a:t>
          </a:r>
        </a:p>
        <a:p>
          <a:pPr marL="0" marR="0" lvl="0" indent="0" algn="l" defTabSz="914400" eaLnBrk="1" fontAlgn="auto" latinLnBrk="0" hangingPunct="1">
            <a:lnSpc>
              <a:spcPct val="100000"/>
            </a:lnSpc>
            <a:spcBef>
              <a:spcPts val="0"/>
            </a:spcBef>
            <a:spcAft>
              <a:spcPts val="0"/>
            </a:spcAft>
            <a:buClrTx/>
            <a:buSzTx/>
            <a:buFontTx/>
            <a:buNone/>
            <a:tabLst/>
            <a:defRPr/>
          </a:pPr>
          <a:r>
            <a:rPr lang="en-US" sz="1600" b="1" i="0">
              <a:solidFill>
                <a:schemeClr val="dk1"/>
              </a:solidFill>
              <a:effectLst/>
              <a:latin typeface="+mn-lt"/>
              <a:ea typeface="+mn-ea"/>
              <a:cs typeface="+mn-cs"/>
            </a:rPr>
            <a:t>📦 </a:t>
          </a:r>
          <a:r>
            <a:rPr lang="en-US" sz="1600" b="1" baseline="0">
              <a:solidFill>
                <a:schemeClr val="tx1"/>
              </a:solidFill>
            </a:rPr>
            <a:t>Inventory Focus</a:t>
          </a:r>
        </a:p>
        <a:p>
          <a:pPr marL="0" marR="0" lvl="0" indent="0" algn="l" defTabSz="914400" eaLnBrk="1" fontAlgn="auto" latinLnBrk="0" hangingPunct="1">
            <a:lnSpc>
              <a:spcPct val="100000"/>
            </a:lnSpc>
            <a:spcBef>
              <a:spcPts val="0"/>
            </a:spcBef>
            <a:spcAft>
              <a:spcPts val="0"/>
            </a:spcAft>
            <a:buClrTx/>
            <a:buSzTx/>
            <a:buFontTx/>
            <a:buNone/>
            <a:tabLst/>
            <a:defRPr/>
          </a:pPr>
          <a:r>
            <a:rPr lang="en-US" sz="1600" b="1" i="0">
              <a:solidFill>
                <a:schemeClr val="dk1"/>
              </a:solidFill>
              <a:effectLst/>
              <a:latin typeface="+mn-lt"/>
              <a:ea typeface="+mn-ea"/>
              <a:cs typeface="+mn-cs"/>
            </a:rPr>
            <a:t>🛒</a:t>
          </a:r>
          <a:r>
            <a:rPr lang="en-US" sz="1600" b="1" i="0" baseline="0">
              <a:solidFill>
                <a:schemeClr val="dk1"/>
              </a:solidFill>
              <a:effectLst/>
              <a:latin typeface="+mn-lt"/>
              <a:ea typeface="+mn-ea"/>
              <a:cs typeface="+mn-cs"/>
            </a:rPr>
            <a:t> </a:t>
          </a:r>
          <a:r>
            <a:rPr lang="en-US" sz="1600" b="1" baseline="0">
              <a:solidFill>
                <a:schemeClr val="tx1"/>
              </a:solidFill>
            </a:rPr>
            <a:t>Sales Volume</a:t>
          </a:r>
        </a:p>
        <a:p>
          <a:pPr marL="0" marR="0" lvl="0" indent="0" algn="l" defTabSz="914400" eaLnBrk="1" fontAlgn="auto" latinLnBrk="0" hangingPunct="1">
            <a:lnSpc>
              <a:spcPct val="100000"/>
            </a:lnSpc>
            <a:spcBef>
              <a:spcPts val="0"/>
            </a:spcBef>
            <a:spcAft>
              <a:spcPts val="0"/>
            </a:spcAft>
            <a:buClrTx/>
            <a:buSzTx/>
            <a:buFontTx/>
            <a:buNone/>
            <a:tabLst/>
            <a:defRPr/>
          </a:pPr>
          <a:r>
            <a:rPr lang="en-US" sz="1600" b="1" i="0">
              <a:solidFill>
                <a:schemeClr val="dk1"/>
              </a:solidFill>
              <a:effectLst/>
              <a:latin typeface="+mn-lt"/>
              <a:ea typeface="+mn-ea"/>
              <a:cs typeface="+mn-cs"/>
            </a:rPr>
            <a:t>🏬 Best</a:t>
          </a:r>
          <a:r>
            <a:rPr lang="en-US" sz="1600" b="1" i="0" baseline="0">
              <a:solidFill>
                <a:schemeClr val="dk1"/>
              </a:solidFill>
              <a:effectLst/>
              <a:latin typeface="+mn-lt"/>
              <a:ea typeface="+mn-ea"/>
              <a:cs typeface="+mn-cs"/>
            </a:rPr>
            <a:t> Store</a:t>
          </a:r>
        </a:p>
        <a:p>
          <a:pPr marL="0" marR="0" lvl="0" indent="0" algn="l" defTabSz="914400" eaLnBrk="1" fontAlgn="auto" latinLnBrk="0" hangingPunct="1">
            <a:lnSpc>
              <a:spcPct val="100000"/>
            </a:lnSpc>
            <a:spcBef>
              <a:spcPts val="0"/>
            </a:spcBef>
            <a:spcAft>
              <a:spcPts val="0"/>
            </a:spcAft>
            <a:buClrTx/>
            <a:buSzTx/>
            <a:buFontTx/>
            <a:buNone/>
            <a:tabLst/>
            <a:defRPr/>
          </a:pPr>
          <a:r>
            <a:rPr lang="en-US" sz="1600" b="1" i="0">
              <a:solidFill>
                <a:schemeClr val="dk1"/>
              </a:solidFill>
              <a:effectLst/>
              <a:latin typeface="+mn-lt"/>
              <a:ea typeface="+mn-ea"/>
              <a:cs typeface="+mn-cs"/>
            </a:rPr>
            <a:t>🏆 Top Product</a:t>
          </a:r>
          <a:r>
            <a:rPr lang="en-US" sz="1600" b="1" i="0" baseline="0">
              <a:solidFill>
                <a:schemeClr val="dk1"/>
              </a:solidFill>
              <a:effectLst/>
              <a:latin typeface="+mn-lt"/>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600" b="1" i="0" baseline="0">
              <a:solidFill>
                <a:schemeClr val="dk1"/>
              </a:solidFill>
              <a:effectLst/>
              <a:latin typeface="+mn-lt"/>
              <a:ea typeface="+mn-ea"/>
              <a:cs typeface="+mn-cs"/>
            </a:rPr>
            <a:t> </a:t>
          </a:r>
          <a:r>
            <a:rPr lang="en-US" sz="1600" b="1" i="0">
              <a:solidFill>
                <a:schemeClr val="dk1"/>
              </a:solidFill>
              <a:effectLst/>
              <a:latin typeface="+mn-lt"/>
              <a:ea typeface="+mn-ea"/>
              <a:cs typeface="+mn-cs"/>
            </a:rPr>
            <a:t>💰 Profit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1</xdr:row>
      <xdr:rowOff>179070</xdr:rowOff>
    </xdr:from>
    <xdr:to>
      <xdr:col>11</xdr:col>
      <xdr:colOff>579120</xdr:colOff>
      <xdr:row>16</xdr:row>
      <xdr:rowOff>30480</xdr:rowOff>
    </xdr:to>
    <xdr:graphicFrame macro="">
      <xdr:nvGraphicFramePr>
        <xdr:cNvPr id="3" name="Chart 2">
          <a:extLst>
            <a:ext uri="{FF2B5EF4-FFF2-40B4-BE49-F238E27FC236}">
              <a16:creationId xmlns:a16="http://schemas.microsoft.com/office/drawing/2014/main" id="{A03CD52B-7BA7-2B2E-7523-027EAFBCDE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594360</xdr:colOff>
      <xdr:row>2</xdr:row>
      <xdr:rowOff>0</xdr:rowOff>
    </xdr:from>
    <xdr:to>
      <xdr:col>14</xdr:col>
      <xdr:colOff>594360</xdr:colOff>
      <xdr:row>16</xdr:row>
      <xdr:rowOff>20955</xdr:rowOff>
    </xdr:to>
    <mc:AlternateContent xmlns:mc="http://schemas.openxmlformats.org/markup-compatibility/2006" xmlns:a14="http://schemas.microsoft.com/office/drawing/2010/main">
      <mc:Choice Requires="a14">
        <xdr:graphicFrame macro="">
          <xdr:nvGraphicFramePr>
            <xdr:cNvPr id="4" name="Product_Name">
              <a:extLst>
                <a:ext uri="{FF2B5EF4-FFF2-40B4-BE49-F238E27FC236}">
                  <a16:creationId xmlns:a16="http://schemas.microsoft.com/office/drawing/2014/main" id="{11952101-F463-8138-2B01-55C091EF8E84}"/>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8176260" y="3657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1287780</xdr:colOff>
      <xdr:row>2</xdr:row>
      <xdr:rowOff>0</xdr:rowOff>
    </xdr:from>
    <xdr:to>
      <xdr:col>9</xdr:col>
      <xdr:colOff>297180</xdr:colOff>
      <xdr:row>17</xdr:row>
      <xdr:rowOff>0</xdr:rowOff>
    </xdr:to>
    <xdr:graphicFrame macro="">
      <xdr:nvGraphicFramePr>
        <xdr:cNvPr id="2" name="Chart 1">
          <a:extLst>
            <a:ext uri="{FF2B5EF4-FFF2-40B4-BE49-F238E27FC236}">
              <a16:creationId xmlns:a16="http://schemas.microsoft.com/office/drawing/2014/main" id="{DB8CFC25-971B-DDDF-DCE0-EB6143F772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350520</xdr:colOff>
      <xdr:row>2</xdr:row>
      <xdr:rowOff>53340</xdr:rowOff>
    </xdr:from>
    <xdr:to>
      <xdr:col>10</xdr:col>
      <xdr:colOff>556260</xdr:colOff>
      <xdr:row>16</xdr:row>
      <xdr:rowOff>74295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A78443D1-1AB2-F89B-705F-9E87010BB33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66560" y="419100"/>
              <a:ext cx="81534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7620</xdr:colOff>
      <xdr:row>2</xdr:row>
      <xdr:rowOff>7620</xdr:rowOff>
    </xdr:from>
    <xdr:to>
      <xdr:col>9</xdr:col>
      <xdr:colOff>312420</xdr:colOff>
      <xdr:row>17</xdr:row>
      <xdr:rowOff>7620</xdr:rowOff>
    </xdr:to>
    <xdr:graphicFrame macro="">
      <xdr:nvGraphicFramePr>
        <xdr:cNvPr id="2" name="Chart 1">
          <a:extLst>
            <a:ext uri="{FF2B5EF4-FFF2-40B4-BE49-F238E27FC236}">
              <a16:creationId xmlns:a16="http://schemas.microsoft.com/office/drawing/2014/main" id="{CD8D2A3C-41FE-62AD-972F-28037A7BC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342900</xdr:colOff>
      <xdr:row>2</xdr:row>
      <xdr:rowOff>15240</xdr:rowOff>
    </xdr:from>
    <xdr:to>
      <xdr:col>12</xdr:col>
      <xdr:colOff>38100</xdr:colOff>
      <xdr:row>17</xdr:row>
      <xdr:rowOff>15240</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DD41582E-C617-C8EF-DCE8-7B0C429DC86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002780" y="381000"/>
              <a:ext cx="1524000" cy="274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30480</xdr:colOff>
      <xdr:row>2</xdr:row>
      <xdr:rowOff>0</xdr:rowOff>
    </xdr:from>
    <xdr:to>
      <xdr:col>9</xdr:col>
      <xdr:colOff>594360</xdr:colOff>
      <xdr:row>17</xdr:row>
      <xdr:rowOff>0</xdr:rowOff>
    </xdr:to>
    <xdr:graphicFrame macro="">
      <xdr:nvGraphicFramePr>
        <xdr:cNvPr id="2" name="Chart 1">
          <a:extLst>
            <a:ext uri="{FF2B5EF4-FFF2-40B4-BE49-F238E27FC236}">
              <a16:creationId xmlns:a16="http://schemas.microsoft.com/office/drawing/2014/main" id="{0ED56C8E-31C7-55B7-5BA9-A176FD6C68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22860</xdr:colOff>
      <xdr:row>2</xdr:row>
      <xdr:rowOff>83820</xdr:rowOff>
    </xdr:from>
    <xdr:to>
      <xdr:col>13</xdr:col>
      <xdr:colOff>22860</xdr:colOff>
      <xdr:row>16</xdr:row>
      <xdr:rowOff>104775</xdr:rowOff>
    </xdr:to>
    <mc:AlternateContent xmlns:mc="http://schemas.openxmlformats.org/markup-compatibility/2006" xmlns:a14="http://schemas.microsoft.com/office/drawing/2010/main">
      <mc:Choice Requires="a14">
        <xdr:graphicFrame macro="">
          <xdr:nvGraphicFramePr>
            <xdr:cNvPr id="3" name="Product_Category">
              <a:extLst>
                <a:ext uri="{FF2B5EF4-FFF2-40B4-BE49-F238E27FC236}">
                  <a16:creationId xmlns:a16="http://schemas.microsoft.com/office/drawing/2014/main" id="{6FE8B2FF-2FD3-FA09-5C74-147710221C92}"/>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6637020" y="4495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22860</xdr:colOff>
      <xdr:row>1</xdr:row>
      <xdr:rowOff>179070</xdr:rowOff>
    </xdr:from>
    <xdr:to>
      <xdr:col>9</xdr:col>
      <xdr:colOff>518160</xdr:colOff>
      <xdr:row>16</xdr:row>
      <xdr:rowOff>179070</xdr:rowOff>
    </xdr:to>
    <xdr:graphicFrame macro="">
      <xdr:nvGraphicFramePr>
        <xdr:cNvPr id="2" name="Chart 1">
          <a:extLst>
            <a:ext uri="{FF2B5EF4-FFF2-40B4-BE49-F238E27FC236}">
              <a16:creationId xmlns:a16="http://schemas.microsoft.com/office/drawing/2014/main" id="{4F0649F7-CB8C-DBFD-DCEE-CCFEFE85B2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525780</xdr:colOff>
      <xdr:row>2</xdr:row>
      <xdr:rowOff>30480</xdr:rowOff>
    </xdr:from>
    <xdr:to>
      <xdr:col>12</xdr:col>
      <xdr:colOff>525780</xdr:colOff>
      <xdr:row>16</xdr:row>
      <xdr:rowOff>51435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A287BB70-C576-4542-6E0E-C33EC9570C5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223760" y="3962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mitv\Desktop\Retail_Store_Analytics_System_Bh@9.xlsx" TargetMode="External"/><Relationship Id="rId1" Type="http://schemas.openxmlformats.org/officeDocument/2006/relationships/externalLinkPath" Target="Retail_Store_Analytics_System_Bh@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PI_Formula"/>
      <sheetName val="Master_Data"/>
      <sheetName val="Retail_Store_DASHBOARD"/>
      <sheetName val="M-1 Sales Analytics"/>
      <sheetName val="M-2 Customer_Segmentation"/>
      <sheetName val="M-3 Invetory_Analytics"/>
      <sheetName val="M-4 Product_Performance"/>
      <sheetName val="M-5 Store_Performance"/>
    </sheetNames>
    <sheetDataSet>
      <sheetData sheetId="0"/>
      <sheetData sheetId="1"/>
      <sheetData sheetId="2"/>
      <sheetData sheetId="3"/>
      <sheetData sheetId="4"/>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verma" refreshedDate="46322.967664236108" createdVersion="8" refreshedVersion="8" minRefreshableVersion="3" recordCount="149" xr:uid="{0F771756-32F9-4947-9EE7-4A38C7C0085E}">
  <cacheSource type="worksheet">
    <worksheetSource name="Table1"/>
  </cacheSource>
  <cacheFields count="16">
    <cacheField name="Transaction_ID" numFmtId="0">
      <sharedItems count="149">
        <s v="TXN-10000"/>
        <s v="TXN-10001"/>
        <s v="TXN-10002"/>
        <s v="TXN-10003"/>
        <s v="TXN-10004"/>
        <s v="TXN-10005"/>
        <s v="TXN-10006"/>
        <s v="TXN-10007"/>
        <s v="TXN-10008"/>
        <s v="TXN-10009"/>
        <s v="TXN-10010"/>
        <s v="TXN-10011"/>
        <s v="TXN-10012"/>
        <s v="TXN-10013"/>
        <s v="TXN-10014"/>
        <s v="TXN-10015"/>
        <s v="TXN-10016"/>
        <s v="TXN-10017"/>
        <s v="TXN-10018"/>
        <s v="TXN-10019"/>
        <s v="TXN-10020"/>
        <s v="TXN-10021"/>
        <s v="TXN-10022"/>
        <s v="TXN-10023"/>
        <s v="TXN-10024"/>
        <s v="TXN-10025"/>
        <s v="TXN-10026"/>
        <s v="TXN-10027"/>
        <s v="TXN-10028"/>
        <s v="TXN-10029"/>
        <s v="TXN-10030"/>
        <s v="TXN-10031"/>
        <s v="TXN-10032"/>
        <s v="TXN-10033"/>
        <s v="TXN-10034"/>
        <s v="TXN-10035"/>
        <s v="TXN-10036"/>
        <s v="TXN-10037"/>
        <s v="TXN-10038"/>
        <s v="TXN-10039"/>
        <s v="TXN-10040"/>
        <s v="TXN-10041"/>
        <s v="TXN-10042"/>
        <s v="TXN-10043"/>
        <s v="TXN-10044"/>
        <s v="TXN-10045"/>
        <s v="TXN-10046"/>
        <s v="TXN-10047"/>
        <s v="TXN-10048"/>
        <s v="TXN-10049"/>
        <s v="TXN-10050"/>
        <s v="TXN-10051"/>
        <s v="TXN-10052"/>
        <s v="TXN-10053"/>
        <s v="TXN-10054"/>
        <s v="TXN-10055"/>
        <s v="TXN-10056"/>
        <s v="TXN-10057"/>
        <s v="TXN-10058"/>
        <s v="TXN-10059"/>
        <s v="TXN-10060"/>
        <s v="TXN-10061"/>
        <s v="TXN-10062"/>
        <s v="TXN-10063"/>
        <s v="TXN-10064"/>
        <s v="TXN-10065"/>
        <s v="TXN-10066"/>
        <s v="TXN-10067"/>
        <s v="TXN-10068"/>
        <s v="TXN-10069"/>
        <s v="TXN-10070"/>
        <s v="TXN-10071"/>
        <s v="TXN-10072"/>
        <s v="TXN-10073"/>
        <s v="TXN-10074"/>
        <s v="TXN-10075"/>
        <s v="TXN-10076"/>
        <s v="TXN-10077"/>
        <s v="TXN-10078"/>
        <s v="TXN-10079"/>
        <s v="TXN-10080"/>
        <s v="TXN-10081"/>
        <s v="TXN-10082"/>
        <s v="TXN-10083"/>
        <s v="TXN-10084"/>
        <s v="TXN-10085"/>
        <s v="TXN-10086"/>
        <s v="TXN-10087"/>
        <s v="TXN-10088"/>
        <s v="TXN-10089"/>
        <s v="TXN-10090"/>
        <s v="TXN-10091"/>
        <s v="TXN-10092"/>
        <s v="TXN-10093"/>
        <s v="TXN-10094"/>
        <s v="TXN-10095"/>
        <s v="TXN-10096"/>
        <s v="TXN-10097"/>
        <s v="TXN-10098"/>
        <s v="TXN-10099"/>
        <s v="TXN-10100"/>
        <s v="TXN-10101"/>
        <s v="TXN-10102"/>
        <s v="TXN-10103"/>
        <s v="TXN-10104"/>
        <s v="TXN-10105"/>
        <s v="TXN-10106"/>
        <s v="TXN-10107"/>
        <s v="TXN-10108"/>
        <s v="TXN-10109"/>
        <s v="TXN-10110"/>
        <s v="TXN-10111"/>
        <s v="TXN-10112"/>
        <s v="TXN-10113"/>
        <s v="TXN-10114"/>
        <s v="TXN-10115"/>
        <s v="TXN-10116"/>
        <s v="TXN-10117"/>
        <s v="TXN-10118"/>
        <s v="TXN-10119"/>
        <s v="TXN-10120"/>
        <s v="TXN-10121"/>
        <s v="TXN-10122"/>
        <s v="TXN-10123"/>
        <s v="TXN-10124"/>
        <s v="TXN-10125"/>
        <s v="TXN-10126"/>
        <s v="TXN-10127"/>
        <s v="TXN-10128"/>
        <s v="TXN-10129"/>
        <s v="TXN-10130"/>
        <s v="TXN-10131"/>
        <s v="TXN-10132"/>
        <s v="TXN-10133"/>
        <s v="TXN-10134"/>
        <s v="TXN-10135"/>
        <s v="TXN-10136"/>
        <s v="TXN-10137"/>
        <s v="TXN-10138"/>
        <s v="TXN-10139"/>
        <s v="TXN-10140"/>
        <s v="TXN-10141"/>
        <s v="TXN-10142"/>
        <s v="TXN-10143"/>
        <s v="TXN-10144"/>
        <s v="TXN-10145"/>
        <s v="TXN-10146"/>
        <s v="TXN-10147"/>
        <s v="TXN-10148"/>
      </sharedItems>
    </cacheField>
    <cacheField name="Date" numFmtId="164">
      <sharedItems containsDate="1" containsMixedTypes="1" minDate="2025-04-13T00:00:00" maxDate="2025-04-14T00:00:00"/>
    </cacheField>
    <cacheField name="Store_Location" numFmtId="0">
      <sharedItems count="8">
        <s v="NY Flagship"/>
        <s v="Atlanta Downtown"/>
        <s v="Seattle Wharf"/>
        <s v="Miami Beach"/>
        <s v="LA Center"/>
        <s v="Chicago Metro"/>
        <s v="Detroit Hub"/>
        <s v="Boston Common"/>
      </sharedItems>
    </cacheField>
    <cacheField name="Region" numFmtId="0">
      <sharedItems count="4">
        <s v="East"/>
        <s v="South"/>
        <s v="West"/>
        <s v="North"/>
      </sharedItems>
    </cacheField>
    <cacheField name="Customer_ID" numFmtId="0">
      <sharedItems/>
    </cacheField>
    <cacheField name="Gender" numFmtId="0">
      <sharedItems count="3">
        <s v="Female"/>
        <s v="Male"/>
        <s v="Unspecified"/>
      </sharedItems>
    </cacheField>
    <cacheField name="Segment" numFmtId="0">
      <sharedItems count="3">
        <s v="Regular"/>
        <s v="Value"/>
        <s v="Premier"/>
      </sharedItems>
    </cacheField>
    <cacheField name="Product_ID" numFmtId="0">
      <sharedItems/>
    </cacheField>
    <cacheField name="Product_Category" numFmtId="0">
      <sharedItems count="4">
        <s v="Electronics"/>
        <s v="Home &amp; Kitchen"/>
        <s v="Beauty"/>
        <s v="Apparel"/>
      </sharedItems>
    </cacheField>
    <cacheField name="Product_Name" numFmtId="0">
      <sharedItems count="12">
        <s v="Wireless Buds"/>
        <s v="Laptop Pro"/>
        <s v="Air Fryer XL"/>
        <s v="Smart Watch v2"/>
        <s v="Blender Touch"/>
        <s v="Sonic Cleanser"/>
        <s v="Classic Denim"/>
        <s v="Running Shoes"/>
        <s v="Skincare Serum"/>
        <s v="Coffee Brewer"/>
        <s v="Hoodie Comfort"/>
        <s v="Fragrance Luxe"/>
      </sharedItems>
    </cacheField>
    <cacheField name="Quantity_Sold" numFmtId="0">
      <sharedItems containsSemiMixedTypes="0" containsString="0" containsNumber="1" containsInteger="1" minValue="1" maxValue="5"/>
    </cacheField>
    <cacheField name="Unit_Cost" numFmtId="0">
      <sharedItems containsSemiMixedTypes="0" containsString="0" containsNumber="1" containsInteger="1" minValue="15" maxValue="800"/>
    </cacheField>
    <cacheField name="Unit_Price" numFmtId="0">
      <sharedItems containsSemiMixedTypes="0" containsString="0" containsNumber="1" containsInteger="1" minValue="45" maxValue="1200"/>
    </cacheField>
    <cacheField name="Revenue" numFmtId="0">
      <sharedItems containsSemiMixedTypes="0" containsString="0" containsNumber="1" containsInteger="1" minValue="45" maxValue="3600"/>
    </cacheField>
    <cacheField name="Total_Cost" numFmtId="0">
      <sharedItems containsSemiMixedTypes="0" containsString="0" containsNumber="1" containsInteger="1" minValue="15" maxValue="2400"/>
    </cacheField>
    <cacheField name="Profit" numFmtId="0">
      <sharedItems containsSemiMixedTypes="0" containsString="0" containsNumber="1" containsInteger="1" minValue="30" maxValue="1200"/>
    </cacheField>
  </cacheFields>
  <extLst>
    <ext xmlns:x14="http://schemas.microsoft.com/office/spreadsheetml/2009/9/main" uri="{725AE2AE-9491-48be-B2B4-4EB974FC3084}">
      <x14:pivotCacheDefinition pivotCacheId="601159064"/>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x v="0"/>
    <d v="2025-04-13T00:00:00"/>
    <x v="0"/>
    <x v="0"/>
    <s v="CUST-1161"/>
    <x v="0"/>
    <x v="0"/>
    <s v="PROD-ELE-102"/>
    <x v="0"/>
    <x v="0"/>
    <n v="1"/>
    <n v="50"/>
    <n v="99"/>
    <n v="99"/>
    <n v="50"/>
    <n v="49"/>
  </r>
  <r>
    <x v="1"/>
    <s v="2025-12-15"/>
    <x v="1"/>
    <x v="1"/>
    <s v="CUST-1168"/>
    <x v="1"/>
    <x v="1"/>
    <s v="PROD-ELE-100"/>
    <x v="0"/>
    <x v="1"/>
    <n v="2"/>
    <n v="800"/>
    <n v="1200"/>
    <n v="2400"/>
    <n v="1600"/>
    <n v="800"/>
  </r>
  <r>
    <x v="2"/>
    <s v="2025-09-28"/>
    <x v="0"/>
    <x v="0"/>
    <s v="CUST-1152"/>
    <x v="0"/>
    <x v="0"/>
    <s v="PROD-HOM-100"/>
    <x v="1"/>
    <x v="2"/>
    <n v="3"/>
    <n v="60"/>
    <n v="120"/>
    <n v="360"/>
    <n v="180"/>
    <n v="180"/>
  </r>
  <r>
    <x v="3"/>
    <s v="2025-04-17"/>
    <x v="2"/>
    <x v="2"/>
    <s v="CUST-1178"/>
    <x v="0"/>
    <x v="2"/>
    <s v="PROD-ELE-101"/>
    <x v="0"/>
    <x v="3"/>
    <n v="1"/>
    <n v="150"/>
    <n v="250"/>
    <n v="250"/>
    <n v="150"/>
    <n v="100"/>
  </r>
  <r>
    <x v="4"/>
    <s v="2025-03-13"/>
    <x v="0"/>
    <x v="0"/>
    <s v="CUST-1040"/>
    <x v="1"/>
    <x v="1"/>
    <s v="PROD-ELE-102"/>
    <x v="0"/>
    <x v="0"/>
    <n v="2"/>
    <n v="50"/>
    <n v="99"/>
    <n v="198"/>
    <n v="100"/>
    <n v="98"/>
  </r>
  <r>
    <x v="5"/>
    <s v="2025-07-08"/>
    <x v="3"/>
    <x v="1"/>
    <s v="CUST-1030"/>
    <x v="1"/>
    <x v="1"/>
    <s v="PROD-HOM-102"/>
    <x v="1"/>
    <x v="4"/>
    <n v="2"/>
    <n v="30"/>
    <n v="75"/>
    <n v="150"/>
    <n v="60"/>
    <n v="90"/>
  </r>
  <r>
    <x v="6"/>
    <s v="2025-01-21"/>
    <x v="3"/>
    <x v="1"/>
    <s v="CUST-1089"/>
    <x v="1"/>
    <x v="1"/>
    <s v="PROD-BEA-102"/>
    <x v="2"/>
    <x v="5"/>
    <n v="2"/>
    <n v="25"/>
    <n v="69"/>
    <n v="138"/>
    <n v="50"/>
    <n v="88"/>
  </r>
  <r>
    <x v="7"/>
    <s v="2025-04-13"/>
    <x v="4"/>
    <x v="2"/>
    <s v="CUST-1125"/>
    <x v="0"/>
    <x v="0"/>
    <s v="PROD-HOM-100"/>
    <x v="1"/>
    <x v="2"/>
    <n v="1"/>
    <n v="60"/>
    <n v="120"/>
    <n v="120"/>
    <n v="60"/>
    <n v="60"/>
  </r>
  <r>
    <x v="8"/>
    <s v="2025-05-02"/>
    <x v="5"/>
    <x v="3"/>
    <s v="CUST-1247"/>
    <x v="1"/>
    <x v="0"/>
    <s v="PROD-BEA-102"/>
    <x v="2"/>
    <x v="5"/>
    <n v="1"/>
    <n v="25"/>
    <n v="69"/>
    <n v="69"/>
    <n v="25"/>
    <n v="44"/>
  </r>
  <r>
    <x v="9"/>
    <s v="2025-08-03"/>
    <x v="3"/>
    <x v="1"/>
    <s v="CUST-1067"/>
    <x v="1"/>
    <x v="0"/>
    <s v="PROD-BEA-102"/>
    <x v="2"/>
    <x v="5"/>
    <n v="3"/>
    <n v="25"/>
    <n v="69"/>
    <n v="207"/>
    <n v="75"/>
    <n v="132"/>
  </r>
  <r>
    <x v="10"/>
    <s v="2025-11-27"/>
    <x v="6"/>
    <x v="3"/>
    <s v="CUST-1222"/>
    <x v="0"/>
    <x v="1"/>
    <s v="PROD-APP-100"/>
    <x v="3"/>
    <x v="6"/>
    <n v="1"/>
    <n v="20"/>
    <n v="60"/>
    <n v="60"/>
    <n v="20"/>
    <n v="40"/>
  </r>
  <r>
    <x v="11"/>
    <s v="2025-03-29"/>
    <x v="5"/>
    <x v="3"/>
    <s v="CUST-1183"/>
    <x v="1"/>
    <x v="2"/>
    <s v="PROD-APP-101"/>
    <x v="3"/>
    <x v="7"/>
    <n v="1"/>
    <n v="45"/>
    <n v="110"/>
    <n v="110"/>
    <n v="45"/>
    <n v="65"/>
  </r>
  <r>
    <x v="12"/>
    <s v="2025-04-10"/>
    <x v="1"/>
    <x v="1"/>
    <s v="CUST-1118"/>
    <x v="1"/>
    <x v="1"/>
    <s v="PROD-BEA-100"/>
    <x v="2"/>
    <x v="8"/>
    <n v="1"/>
    <n v="15"/>
    <n v="45"/>
    <n v="45"/>
    <n v="15"/>
    <n v="30"/>
  </r>
  <r>
    <x v="13"/>
    <s v="2025-12-26"/>
    <x v="4"/>
    <x v="2"/>
    <s v="CUST-1157"/>
    <x v="0"/>
    <x v="0"/>
    <s v="PROD-BEA-100"/>
    <x v="2"/>
    <x v="8"/>
    <n v="2"/>
    <n v="15"/>
    <n v="45"/>
    <n v="90"/>
    <n v="30"/>
    <n v="60"/>
  </r>
  <r>
    <x v="14"/>
    <s v="2025-06-01"/>
    <x v="0"/>
    <x v="0"/>
    <s v="CUST-1243"/>
    <x v="0"/>
    <x v="0"/>
    <s v="PROD-HOM-100"/>
    <x v="1"/>
    <x v="2"/>
    <n v="3"/>
    <n v="60"/>
    <n v="120"/>
    <n v="360"/>
    <n v="180"/>
    <n v="180"/>
  </r>
  <r>
    <x v="15"/>
    <s v="2025-05-11"/>
    <x v="3"/>
    <x v="1"/>
    <s v="CUST-1104"/>
    <x v="1"/>
    <x v="0"/>
    <s v="PROD-HOM-101"/>
    <x v="1"/>
    <x v="9"/>
    <n v="4"/>
    <n v="40"/>
    <n v="89"/>
    <n v="356"/>
    <n v="160"/>
    <n v="196"/>
  </r>
  <r>
    <x v="16"/>
    <s v="2025-05-30"/>
    <x v="2"/>
    <x v="2"/>
    <s v="CUST-1141"/>
    <x v="1"/>
    <x v="2"/>
    <s v="PROD-ELE-102"/>
    <x v="0"/>
    <x v="0"/>
    <n v="2"/>
    <n v="50"/>
    <n v="99"/>
    <n v="198"/>
    <n v="100"/>
    <n v="98"/>
  </r>
  <r>
    <x v="17"/>
    <s v="2025-11-05"/>
    <x v="7"/>
    <x v="0"/>
    <s v="CUST-1236"/>
    <x v="0"/>
    <x v="0"/>
    <s v="PROD-BEA-100"/>
    <x v="2"/>
    <x v="8"/>
    <n v="2"/>
    <n v="15"/>
    <n v="45"/>
    <n v="90"/>
    <n v="30"/>
    <n v="60"/>
  </r>
  <r>
    <x v="18"/>
    <s v="2025-09-15"/>
    <x v="1"/>
    <x v="1"/>
    <s v="CUST-1092"/>
    <x v="1"/>
    <x v="0"/>
    <s v="PROD-HOM-100"/>
    <x v="1"/>
    <x v="2"/>
    <n v="1"/>
    <n v="60"/>
    <n v="120"/>
    <n v="120"/>
    <n v="60"/>
    <n v="60"/>
  </r>
  <r>
    <x v="19"/>
    <s v="2025-12-10"/>
    <x v="6"/>
    <x v="3"/>
    <s v="CUST-1011"/>
    <x v="1"/>
    <x v="0"/>
    <s v="PROD-ELE-101"/>
    <x v="0"/>
    <x v="3"/>
    <n v="3"/>
    <n v="150"/>
    <n v="250"/>
    <n v="750"/>
    <n v="450"/>
    <n v="300"/>
  </r>
  <r>
    <x v="20"/>
    <s v="2025-10-21"/>
    <x v="1"/>
    <x v="1"/>
    <s v="CUST-1057"/>
    <x v="1"/>
    <x v="0"/>
    <s v="PROD-HOM-102"/>
    <x v="1"/>
    <x v="4"/>
    <n v="1"/>
    <n v="30"/>
    <n v="75"/>
    <n v="75"/>
    <n v="30"/>
    <n v="45"/>
  </r>
  <r>
    <x v="21"/>
    <s v="2025-07-11"/>
    <x v="5"/>
    <x v="3"/>
    <s v="CUST-1137"/>
    <x v="0"/>
    <x v="0"/>
    <s v="PROD-APP-100"/>
    <x v="3"/>
    <x v="6"/>
    <n v="1"/>
    <n v="20"/>
    <n v="60"/>
    <n v="60"/>
    <n v="20"/>
    <n v="40"/>
  </r>
  <r>
    <x v="22"/>
    <s v="2025-10-04"/>
    <x v="4"/>
    <x v="2"/>
    <s v="CUST-1090"/>
    <x v="1"/>
    <x v="1"/>
    <s v="PROD-APP-102"/>
    <x v="3"/>
    <x v="10"/>
    <n v="2"/>
    <n v="25"/>
    <n v="55"/>
    <n v="110"/>
    <n v="50"/>
    <n v="60"/>
  </r>
  <r>
    <x v="23"/>
    <s v="2025-06-10"/>
    <x v="6"/>
    <x v="3"/>
    <s v="CUST-1171"/>
    <x v="2"/>
    <x v="2"/>
    <s v="PROD-APP-100"/>
    <x v="3"/>
    <x v="6"/>
    <n v="1"/>
    <n v="20"/>
    <n v="60"/>
    <n v="60"/>
    <n v="20"/>
    <n v="40"/>
  </r>
  <r>
    <x v="24"/>
    <s v="2025-11-10"/>
    <x v="1"/>
    <x v="1"/>
    <s v="CUST-1088"/>
    <x v="0"/>
    <x v="0"/>
    <s v="PROD-HOM-101"/>
    <x v="1"/>
    <x v="9"/>
    <n v="1"/>
    <n v="40"/>
    <n v="89"/>
    <n v="89"/>
    <n v="40"/>
    <n v="49"/>
  </r>
  <r>
    <x v="25"/>
    <s v="2025-01-22"/>
    <x v="1"/>
    <x v="1"/>
    <s v="CUST-1049"/>
    <x v="2"/>
    <x v="2"/>
    <s v="PROD-ELE-101"/>
    <x v="0"/>
    <x v="3"/>
    <n v="3"/>
    <n v="150"/>
    <n v="250"/>
    <n v="750"/>
    <n v="450"/>
    <n v="300"/>
  </r>
  <r>
    <x v="26"/>
    <s v="2025-09-10"/>
    <x v="0"/>
    <x v="0"/>
    <s v="CUST-1104"/>
    <x v="0"/>
    <x v="0"/>
    <s v="PROD-ELE-101"/>
    <x v="0"/>
    <x v="3"/>
    <n v="2"/>
    <n v="150"/>
    <n v="250"/>
    <n v="500"/>
    <n v="300"/>
    <n v="200"/>
  </r>
  <r>
    <x v="27"/>
    <s v="2025-08-24"/>
    <x v="7"/>
    <x v="0"/>
    <s v="CUST-1211"/>
    <x v="0"/>
    <x v="0"/>
    <s v="PROD-ELE-100"/>
    <x v="0"/>
    <x v="1"/>
    <n v="1"/>
    <n v="800"/>
    <n v="1200"/>
    <n v="1200"/>
    <n v="800"/>
    <n v="400"/>
  </r>
  <r>
    <x v="28"/>
    <s v="2025-12-11"/>
    <x v="2"/>
    <x v="2"/>
    <s v="CUST-1019"/>
    <x v="0"/>
    <x v="2"/>
    <s v="PROD-HOM-101"/>
    <x v="1"/>
    <x v="9"/>
    <n v="1"/>
    <n v="40"/>
    <n v="89"/>
    <n v="89"/>
    <n v="40"/>
    <n v="49"/>
  </r>
  <r>
    <x v="29"/>
    <s v="2025-02-18"/>
    <x v="4"/>
    <x v="2"/>
    <s v="CUST-1114"/>
    <x v="0"/>
    <x v="0"/>
    <s v="PROD-BEA-100"/>
    <x v="2"/>
    <x v="8"/>
    <n v="1"/>
    <n v="15"/>
    <n v="45"/>
    <n v="45"/>
    <n v="15"/>
    <n v="30"/>
  </r>
  <r>
    <x v="30"/>
    <s v="2025-02-28"/>
    <x v="0"/>
    <x v="0"/>
    <s v="CUST-1131"/>
    <x v="1"/>
    <x v="0"/>
    <s v="PROD-APP-101"/>
    <x v="3"/>
    <x v="7"/>
    <n v="1"/>
    <n v="45"/>
    <n v="110"/>
    <n v="110"/>
    <n v="45"/>
    <n v="65"/>
  </r>
  <r>
    <x v="31"/>
    <s v="2025-06-19"/>
    <x v="0"/>
    <x v="0"/>
    <s v="CUST-1220"/>
    <x v="0"/>
    <x v="1"/>
    <s v="PROD-BEA-100"/>
    <x v="2"/>
    <x v="8"/>
    <n v="1"/>
    <n v="15"/>
    <n v="45"/>
    <n v="45"/>
    <n v="15"/>
    <n v="30"/>
  </r>
  <r>
    <x v="32"/>
    <s v="2025-07-07"/>
    <x v="7"/>
    <x v="0"/>
    <s v="CUST-1215"/>
    <x v="1"/>
    <x v="0"/>
    <s v="PROD-APP-100"/>
    <x v="3"/>
    <x v="6"/>
    <n v="2"/>
    <n v="20"/>
    <n v="60"/>
    <n v="120"/>
    <n v="40"/>
    <n v="80"/>
  </r>
  <r>
    <x v="33"/>
    <s v="2025-09-28"/>
    <x v="0"/>
    <x v="0"/>
    <s v="CUST-1097"/>
    <x v="0"/>
    <x v="0"/>
    <s v="PROD-HOM-101"/>
    <x v="1"/>
    <x v="9"/>
    <n v="2"/>
    <n v="40"/>
    <n v="89"/>
    <n v="178"/>
    <n v="80"/>
    <n v="98"/>
  </r>
  <r>
    <x v="34"/>
    <s v="2025-07-09"/>
    <x v="1"/>
    <x v="1"/>
    <s v="CUST-1144"/>
    <x v="0"/>
    <x v="0"/>
    <s v="PROD-ELE-101"/>
    <x v="0"/>
    <x v="3"/>
    <n v="1"/>
    <n v="150"/>
    <n v="250"/>
    <n v="250"/>
    <n v="150"/>
    <n v="100"/>
  </r>
  <r>
    <x v="35"/>
    <s v="2025-06-24"/>
    <x v="2"/>
    <x v="2"/>
    <s v="CUST-1007"/>
    <x v="0"/>
    <x v="0"/>
    <s v="PROD-ELE-102"/>
    <x v="0"/>
    <x v="0"/>
    <n v="1"/>
    <n v="50"/>
    <n v="99"/>
    <n v="99"/>
    <n v="50"/>
    <n v="49"/>
  </r>
  <r>
    <x v="36"/>
    <s v="2025-02-20"/>
    <x v="7"/>
    <x v="0"/>
    <s v="CUST-1029"/>
    <x v="0"/>
    <x v="0"/>
    <s v="PROD-HOM-100"/>
    <x v="1"/>
    <x v="2"/>
    <n v="1"/>
    <n v="60"/>
    <n v="120"/>
    <n v="120"/>
    <n v="60"/>
    <n v="60"/>
  </r>
  <r>
    <x v="37"/>
    <s v="2025-12-30"/>
    <x v="1"/>
    <x v="1"/>
    <s v="CUST-1130"/>
    <x v="1"/>
    <x v="0"/>
    <s v="PROD-BEA-100"/>
    <x v="2"/>
    <x v="8"/>
    <n v="1"/>
    <n v="15"/>
    <n v="45"/>
    <n v="45"/>
    <n v="15"/>
    <n v="30"/>
  </r>
  <r>
    <x v="38"/>
    <s v="2025-02-24"/>
    <x v="2"/>
    <x v="2"/>
    <s v="CUST-1137"/>
    <x v="1"/>
    <x v="0"/>
    <s v="PROD-BEA-101"/>
    <x v="2"/>
    <x v="11"/>
    <n v="2"/>
    <n v="35"/>
    <n v="95"/>
    <n v="190"/>
    <n v="70"/>
    <n v="120"/>
  </r>
  <r>
    <x v="39"/>
    <s v="2025-09-01"/>
    <x v="4"/>
    <x v="2"/>
    <s v="CUST-1202"/>
    <x v="2"/>
    <x v="0"/>
    <s v="PROD-HOM-100"/>
    <x v="1"/>
    <x v="2"/>
    <n v="1"/>
    <n v="60"/>
    <n v="120"/>
    <n v="120"/>
    <n v="60"/>
    <n v="60"/>
  </r>
  <r>
    <x v="40"/>
    <s v="2025-11-16"/>
    <x v="6"/>
    <x v="3"/>
    <s v="CUST-1009"/>
    <x v="0"/>
    <x v="0"/>
    <s v="PROD-HOM-100"/>
    <x v="1"/>
    <x v="2"/>
    <n v="1"/>
    <n v="60"/>
    <n v="120"/>
    <n v="120"/>
    <n v="60"/>
    <n v="60"/>
  </r>
  <r>
    <x v="41"/>
    <s v="2025-05-11"/>
    <x v="7"/>
    <x v="0"/>
    <s v="CUST-1004"/>
    <x v="2"/>
    <x v="2"/>
    <s v="PROD-APP-102"/>
    <x v="3"/>
    <x v="10"/>
    <n v="2"/>
    <n v="25"/>
    <n v="55"/>
    <n v="110"/>
    <n v="50"/>
    <n v="60"/>
  </r>
  <r>
    <x v="42"/>
    <s v="2025-11-03"/>
    <x v="3"/>
    <x v="1"/>
    <s v="CUST-1128"/>
    <x v="0"/>
    <x v="2"/>
    <s v="PROD-APP-101"/>
    <x v="3"/>
    <x v="7"/>
    <n v="1"/>
    <n v="45"/>
    <n v="110"/>
    <n v="110"/>
    <n v="45"/>
    <n v="65"/>
  </r>
  <r>
    <x v="43"/>
    <s v="2025-05-15"/>
    <x v="6"/>
    <x v="3"/>
    <s v="CUST-1122"/>
    <x v="1"/>
    <x v="1"/>
    <s v="PROD-APP-100"/>
    <x v="3"/>
    <x v="6"/>
    <n v="1"/>
    <n v="20"/>
    <n v="60"/>
    <n v="60"/>
    <n v="20"/>
    <n v="40"/>
  </r>
  <r>
    <x v="44"/>
    <s v="2025-01-21"/>
    <x v="7"/>
    <x v="0"/>
    <s v="CUST-1219"/>
    <x v="0"/>
    <x v="0"/>
    <s v="PROD-ELE-100"/>
    <x v="0"/>
    <x v="1"/>
    <n v="1"/>
    <n v="800"/>
    <n v="1200"/>
    <n v="1200"/>
    <n v="800"/>
    <n v="400"/>
  </r>
  <r>
    <x v="45"/>
    <s v="2025-11-25"/>
    <x v="5"/>
    <x v="3"/>
    <s v="CUST-1154"/>
    <x v="0"/>
    <x v="0"/>
    <s v="PROD-APP-101"/>
    <x v="3"/>
    <x v="7"/>
    <n v="1"/>
    <n v="45"/>
    <n v="110"/>
    <n v="110"/>
    <n v="45"/>
    <n v="65"/>
  </r>
  <r>
    <x v="46"/>
    <s v="2025-06-16"/>
    <x v="0"/>
    <x v="0"/>
    <s v="CUST-1051"/>
    <x v="0"/>
    <x v="2"/>
    <s v="PROD-ELE-100"/>
    <x v="0"/>
    <x v="1"/>
    <n v="3"/>
    <n v="800"/>
    <n v="1200"/>
    <n v="3600"/>
    <n v="2400"/>
    <n v="1200"/>
  </r>
  <r>
    <x v="47"/>
    <s v="2025-10-01"/>
    <x v="7"/>
    <x v="0"/>
    <s v="CUST-1164"/>
    <x v="1"/>
    <x v="1"/>
    <s v="PROD-HOM-101"/>
    <x v="1"/>
    <x v="9"/>
    <n v="1"/>
    <n v="40"/>
    <n v="89"/>
    <n v="89"/>
    <n v="40"/>
    <n v="49"/>
  </r>
  <r>
    <x v="48"/>
    <s v="2025-03-30"/>
    <x v="7"/>
    <x v="0"/>
    <s v="CUST-1246"/>
    <x v="0"/>
    <x v="2"/>
    <s v="PROD-APP-102"/>
    <x v="3"/>
    <x v="10"/>
    <n v="1"/>
    <n v="25"/>
    <n v="55"/>
    <n v="55"/>
    <n v="25"/>
    <n v="30"/>
  </r>
  <r>
    <x v="49"/>
    <s v="2025-11-12"/>
    <x v="7"/>
    <x v="0"/>
    <s v="CUST-1235"/>
    <x v="2"/>
    <x v="1"/>
    <s v="PROD-HOM-101"/>
    <x v="1"/>
    <x v="9"/>
    <n v="2"/>
    <n v="40"/>
    <n v="89"/>
    <n v="178"/>
    <n v="80"/>
    <n v="98"/>
  </r>
  <r>
    <x v="50"/>
    <s v="2025-01-14"/>
    <x v="1"/>
    <x v="1"/>
    <s v="CUST-1073"/>
    <x v="0"/>
    <x v="2"/>
    <s v="PROD-ELE-100"/>
    <x v="0"/>
    <x v="1"/>
    <n v="2"/>
    <n v="800"/>
    <n v="1200"/>
    <n v="2400"/>
    <n v="1600"/>
    <n v="800"/>
  </r>
  <r>
    <x v="51"/>
    <s v="2025-08-30"/>
    <x v="1"/>
    <x v="1"/>
    <s v="CUST-1039"/>
    <x v="1"/>
    <x v="2"/>
    <s v="PROD-BEA-102"/>
    <x v="2"/>
    <x v="5"/>
    <n v="1"/>
    <n v="25"/>
    <n v="69"/>
    <n v="69"/>
    <n v="25"/>
    <n v="44"/>
  </r>
  <r>
    <x v="52"/>
    <s v="2025-09-22"/>
    <x v="3"/>
    <x v="1"/>
    <s v="CUST-1019"/>
    <x v="0"/>
    <x v="0"/>
    <s v="PROD-ELE-100"/>
    <x v="0"/>
    <x v="1"/>
    <n v="2"/>
    <n v="800"/>
    <n v="1200"/>
    <n v="2400"/>
    <n v="1600"/>
    <n v="800"/>
  </r>
  <r>
    <x v="53"/>
    <s v="2025-12-12"/>
    <x v="5"/>
    <x v="3"/>
    <s v="CUST-1241"/>
    <x v="0"/>
    <x v="2"/>
    <s v="PROD-BEA-102"/>
    <x v="2"/>
    <x v="5"/>
    <n v="2"/>
    <n v="25"/>
    <n v="69"/>
    <n v="138"/>
    <n v="50"/>
    <n v="88"/>
  </r>
  <r>
    <x v="54"/>
    <s v="2025-02-22"/>
    <x v="5"/>
    <x v="3"/>
    <s v="CUST-1215"/>
    <x v="0"/>
    <x v="1"/>
    <s v="PROD-BEA-100"/>
    <x v="2"/>
    <x v="8"/>
    <n v="4"/>
    <n v="15"/>
    <n v="45"/>
    <n v="180"/>
    <n v="60"/>
    <n v="120"/>
  </r>
  <r>
    <x v="55"/>
    <s v="2025-12-06"/>
    <x v="4"/>
    <x v="2"/>
    <s v="CUST-1059"/>
    <x v="2"/>
    <x v="1"/>
    <s v="PROD-HOM-101"/>
    <x v="1"/>
    <x v="9"/>
    <n v="1"/>
    <n v="40"/>
    <n v="89"/>
    <n v="89"/>
    <n v="40"/>
    <n v="49"/>
  </r>
  <r>
    <x v="56"/>
    <s v="2025-04-02"/>
    <x v="5"/>
    <x v="3"/>
    <s v="CUST-1026"/>
    <x v="2"/>
    <x v="0"/>
    <s v="PROD-APP-102"/>
    <x v="3"/>
    <x v="10"/>
    <n v="2"/>
    <n v="25"/>
    <n v="55"/>
    <n v="110"/>
    <n v="50"/>
    <n v="60"/>
  </r>
  <r>
    <x v="57"/>
    <s v="2025-09-21"/>
    <x v="5"/>
    <x v="3"/>
    <s v="CUST-1176"/>
    <x v="1"/>
    <x v="2"/>
    <s v="PROD-ELE-101"/>
    <x v="0"/>
    <x v="3"/>
    <n v="2"/>
    <n v="150"/>
    <n v="250"/>
    <n v="500"/>
    <n v="300"/>
    <n v="200"/>
  </r>
  <r>
    <x v="58"/>
    <s v="2025-02-04"/>
    <x v="4"/>
    <x v="2"/>
    <s v="CUST-1227"/>
    <x v="0"/>
    <x v="0"/>
    <s v="PROD-ELE-101"/>
    <x v="0"/>
    <x v="3"/>
    <n v="1"/>
    <n v="150"/>
    <n v="250"/>
    <n v="250"/>
    <n v="150"/>
    <n v="100"/>
  </r>
  <r>
    <x v="59"/>
    <s v="2025-07-25"/>
    <x v="7"/>
    <x v="0"/>
    <s v="CUST-1188"/>
    <x v="0"/>
    <x v="0"/>
    <s v="PROD-HOM-101"/>
    <x v="1"/>
    <x v="9"/>
    <n v="2"/>
    <n v="40"/>
    <n v="89"/>
    <n v="178"/>
    <n v="80"/>
    <n v="98"/>
  </r>
  <r>
    <x v="60"/>
    <s v="2025-03-22"/>
    <x v="4"/>
    <x v="2"/>
    <s v="CUST-1015"/>
    <x v="0"/>
    <x v="1"/>
    <s v="PROD-APP-100"/>
    <x v="3"/>
    <x v="6"/>
    <n v="2"/>
    <n v="20"/>
    <n v="60"/>
    <n v="120"/>
    <n v="40"/>
    <n v="80"/>
  </r>
  <r>
    <x v="61"/>
    <s v="2025-02-19"/>
    <x v="6"/>
    <x v="3"/>
    <s v="CUST-1237"/>
    <x v="1"/>
    <x v="0"/>
    <s v="PROD-HOM-102"/>
    <x v="1"/>
    <x v="4"/>
    <n v="3"/>
    <n v="30"/>
    <n v="75"/>
    <n v="225"/>
    <n v="90"/>
    <n v="135"/>
  </r>
  <r>
    <x v="62"/>
    <s v="2025-12-26"/>
    <x v="1"/>
    <x v="1"/>
    <s v="CUST-1247"/>
    <x v="1"/>
    <x v="2"/>
    <s v="PROD-BEA-102"/>
    <x v="2"/>
    <x v="5"/>
    <n v="1"/>
    <n v="25"/>
    <n v="69"/>
    <n v="69"/>
    <n v="25"/>
    <n v="44"/>
  </r>
  <r>
    <x v="63"/>
    <s v="2025-01-02"/>
    <x v="3"/>
    <x v="1"/>
    <s v="CUST-1029"/>
    <x v="1"/>
    <x v="1"/>
    <s v="PROD-ELE-100"/>
    <x v="0"/>
    <x v="1"/>
    <n v="1"/>
    <n v="800"/>
    <n v="1200"/>
    <n v="1200"/>
    <n v="800"/>
    <n v="400"/>
  </r>
  <r>
    <x v="64"/>
    <s v="2025-02-23"/>
    <x v="4"/>
    <x v="2"/>
    <s v="CUST-1121"/>
    <x v="1"/>
    <x v="1"/>
    <s v="PROD-HOM-100"/>
    <x v="1"/>
    <x v="2"/>
    <n v="2"/>
    <n v="60"/>
    <n v="120"/>
    <n v="240"/>
    <n v="120"/>
    <n v="120"/>
  </r>
  <r>
    <x v="65"/>
    <s v="2025-04-16"/>
    <x v="5"/>
    <x v="3"/>
    <s v="CUST-1173"/>
    <x v="1"/>
    <x v="0"/>
    <s v="PROD-BEA-101"/>
    <x v="2"/>
    <x v="11"/>
    <n v="1"/>
    <n v="35"/>
    <n v="95"/>
    <n v="95"/>
    <n v="35"/>
    <n v="60"/>
  </r>
  <r>
    <x v="66"/>
    <s v="2025-09-17"/>
    <x v="6"/>
    <x v="3"/>
    <s v="CUST-1193"/>
    <x v="1"/>
    <x v="1"/>
    <s v="PROD-HOM-100"/>
    <x v="1"/>
    <x v="2"/>
    <n v="1"/>
    <n v="60"/>
    <n v="120"/>
    <n v="120"/>
    <n v="60"/>
    <n v="60"/>
  </r>
  <r>
    <x v="67"/>
    <s v="2025-11-06"/>
    <x v="2"/>
    <x v="2"/>
    <s v="CUST-1187"/>
    <x v="0"/>
    <x v="1"/>
    <s v="PROD-HOM-101"/>
    <x v="1"/>
    <x v="9"/>
    <n v="5"/>
    <n v="40"/>
    <n v="89"/>
    <n v="445"/>
    <n v="200"/>
    <n v="245"/>
  </r>
  <r>
    <x v="68"/>
    <s v="2025-07-10"/>
    <x v="7"/>
    <x v="0"/>
    <s v="CUST-1088"/>
    <x v="0"/>
    <x v="0"/>
    <s v="PROD-ELE-102"/>
    <x v="0"/>
    <x v="0"/>
    <n v="5"/>
    <n v="50"/>
    <n v="99"/>
    <n v="495"/>
    <n v="250"/>
    <n v="245"/>
  </r>
  <r>
    <x v="69"/>
    <s v="2025-08-06"/>
    <x v="7"/>
    <x v="0"/>
    <s v="CUST-1148"/>
    <x v="1"/>
    <x v="1"/>
    <s v="PROD-HOM-100"/>
    <x v="1"/>
    <x v="2"/>
    <n v="1"/>
    <n v="60"/>
    <n v="120"/>
    <n v="120"/>
    <n v="60"/>
    <n v="60"/>
  </r>
  <r>
    <x v="70"/>
    <s v="2025-02-13"/>
    <x v="7"/>
    <x v="0"/>
    <s v="CUST-1057"/>
    <x v="1"/>
    <x v="0"/>
    <s v="PROD-HOM-101"/>
    <x v="1"/>
    <x v="9"/>
    <n v="3"/>
    <n v="40"/>
    <n v="89"/>
    <n v="267"/>
    <n v="120"/>
    <n v="147"/>
  </r>
  <r>
    <x v="71"/>
    <s v="2025-06-11"/>
    <x v="1"/>
    <x v="1"/>
    <s v="CUST-1215"/>
    <x v="2"/>
    <x v="1"/>
    <s v="PROD-APP-100"/>
    <x v="3"/>
    <x v="6"/>
    <n v="1"/>
    <n v="20"/>
    <n v="60"/>
    <n v="60"/>
    <n v="20"/>
    <n v="40"/>
  </r>
  <r>
    <x v="72"/>
    <s v="2025-07-21"/>
    <x v="1"/>
    <x v="1"/>
    <s v="CUST-1178"/>
    <x v="2"/>
    <x v="0"/>
    <s v="PROD-HOM-102"/>
    <x v="1"/>
    <x v="4"/>
    <n v="1"/>
    <n v="30"/>
    <n v="75"/>
    <n v="75"/>
    <n v="30"/>
    <n v="45"/>
  </r>
  <r>
    <x v="73"/>
    <s v="2025-09-27"/>
    <x v="4"/>
    <x v="2"/>
    <s v="CUST-1239"/>
    <x v="0"/>
    <x v="2"/>
    <s v="PROD-ELE-101"/>
    <x v="0"/>
    <x v="3"/>
    <n v="1"/>
    <n v="150"/>
    <n v="250"/>
    <n v="250"/>
    <n v="150"/>
    <n v="100"/>
  </r>
  <r>
    <x v="74"/>
    <s v="2025-12-17"/>
    <x v="4"/>
    <x v="2"/>
    <s v="CUST-1123"/>
    <x v="0"/>
    <x v="2"/>
    <s v="PROD-ELE-101"/>
    <x v="0"/>
    <x v="3"/>
    <n v="3"/>
    <n v="150"/>
    <n v="250"/>
    <n v="750"/>
    <n v="450"/>
    <n v="300"/>
  </r>
  <r>
    <x v="75"/>
    <s v="2025-10-31"/>
    <x v="5"/>
    <x v="3"/>
    <s v="CUST-1040"/>
    <x v="0"/>
    <x v="1"/>
    <s v="PROD-APP-102"/>
    <x v="3"/>
    <x v="10"/>
    <n v="1"/>
    <n v="25"/>
    <n v="55"/>
    <n v="55"/>
    <n v="25"/>
    <n v="30"/>
  </r>
  <r>
    <x v="76"/>
    <s v="2025-09-28"/>
    <x v="0"/>
    <x v="0"/>
    <s v="CUST-1176"/>
    <x v="1"/>
    <x v="0"/>
    <s v="PROD-BEA-100"/>
    <x v="2"/>
    <x v="8"/>
    <n v="3"/>
    <n v="15"/>
    <n v="45"/>
    <n v="135"/>
    <n v="45"/>
    <n v="90"/>
  </r>
  <r>
    <x v="77"/>
    <s v="2025-08-03"/>
    <x v="5"/>
    <x v="3"/>
    <s v="CUST-1114"/>
    <x v="0"/>
    <x v="0"/>
    <s v="PROD-ELE-102"/>
    <x v="0"/>
    <x v="0"/>
    <n v="3"/>
    <n v="50"/>
    <n v="99"/>
    <n v="297"/>
    <n v="150"/>
    <n v="147"/>
  </r>
  <r>
    <x v="78"/>
    <s v="2025-09-09"/>
    <x v="2"/>
    <x v="2"/>
    <s v="CUST-1098"/>
    <x v="0"/>
    <x v="0"/>
    <s v="PROD-ELE-101"/>
    <x v="0"/>
    <x v="3"/>
    <n v="1"/>
    <n v="150"/>
    <n v="250"/>
    <n v="250"/>
    <n v="150"/>
    <n v="100"/>
  </r>
  <r>
    <x v="79"/>
    <s v="2025-07-09"/>
    <x v="2"/>
    <x v="2"/>
    <s v="CUST-1092"/>
    <x v="0"/>
    <x v="1"/>
    <s v="PROD-ELE-100"/>
    <x v="0"/>
    <x v="1"/>
    <n v="3"/>
    <n v="800"/>
    <n v="1200"/>
    <n v="3600"/>
    <n v="2400"/>
    <n v="1200"/>
  </r>
  <r>
    <x v="80"/>
    <s v="2025-10-23"/>
    <x v="5"/>
    <x v="3"/>
    <s v="CUST-1170"/>
    <x v="0"/>
    <x v="2"/>
    <s v="PROD-BEA-102"/>
    <x v="2"/>
    <x v="5"/>
    <n v="3"/>
    <n v="25"/>
    <n v="69"/>
    <n v="207"/>
    <n v="75"/>
    <n v="132"/>
  </r>
  <r>
    <x v="81"/>
    <s v="2025-08-01"/>
    <x v="6"/>
    <x v="3"/>
    <s v="CUST-1249"/>
    <x v="0"/>
    <x v="2"/>
    <s v="PROD-APP-102"/>
    <x v="3"/>
    <x v="10"/>
    <n v="1"/>
    <n v="25"/>
    <n v="55"/>
    <n v="55"/>
    <n v="25"/>
    <n v="30"/>
  </r>
  <r>
    <x v="82"/>
    <s v="2025-07-27"/>
    <x v="0"/>
    <x v="0"/>
    <s v="CUST-1082"/>
    <x v="0"/>
    <x v="1"/>
    <s v="PROD-ELE-102"/>
    <x v="0"/>
    <x v="0"/>
    <n v="1"/>
    <n v="50"/>
    <n v="99"/>
    <n v="99"/>
    <n v="50"/>
    <n v="49"/>
  </r>
  <r>
    <x v="83"/>
    <s v="2025-08-25"/>
    <x v="6"/>
    <x v="3"/>
    <s v="CUST-1155"/>
    <x v="0"/>
    <x v="1"/>
    <s v="PROD-HOM-101"/>
    <x v="1"/>
    <x v="9"/>
    <n v="2"/>
    <n v="40"/>
    <n v="89"/>
    <n v="178"/>
    <n v="80"/>
    <n v="98"/>
  </r>
  <r>
    <x v="84"/>
    <s v="2025-12-04"/>
    <x v="4"/>
    <x v="2"/>
    <s v="CUST-1163"/>
    <x v="1"/>
    <x v="2"/>
    <s v="PROD-HOM-101"/>
    <x v="1"/>
    <x v="9"/>
    <n v="1"/>
    <n v="40"/>
    <n v="89"/>
    <n v="89"/>
    <n v="40"/>
    <n v="49"/>
  </r>
  <r>
    <x v="85"/>
    <s v="2025-02-22"/>
    <x v="1"/>
    <x v="1"/>
    <s v="CUST-1156"/>
    <x v="2"/>
    <x v="0"/>
    <s v="PROD-ELE-101"/>
    <x v="0"/>
    <x v="3"/>
    <n v="4"/>
    <n v="150"/>
    <n v="250"/>
    <n v="1000"/>
    <n v="600"/>
    <n v="400"/>
  </r>
  <r>
    <x v="86"/>
    <s v="2025-10-07"/>
    <x v="2"/>
    <x v="2"/>
    <s v="CUST-1242"/>
    <x v="1"/>
    <x v="1"/>
    <s v="PROD-BEA-101"/>
    <x v="2"/>
    <x v="11"/>
    <n v="2"/>
    <n v="35"/>
    <n v="95"/>
    <n v="190"/>
    <n v="70"/>
    <n v="120"/>
  </r>
  <r>
    <x v="87"/>
    <s v="2025-08-05"/>
    <x v="1"/>
    <x v="1"/>
    <s v="CUST-1022"/>
    <x v="1"/>
    <x v="0"/>
    <s v="PROD-APP-101"/>
    <x v="3"/>
    <x v="7"/>
    <n v="5"/>
    <n v="45"/>
    <n v="110"/>
    <n v="550"/>
    <n v="225"/>
    <n v="325"/>
  </r>
  <r>
    <x v="88"/>
    <s v="2025-09-09"/>
    <x v="6"/>
    <x v="3"/>
    <s v="CUST-1164"/>
    <x v="0"/>
    <x v="0"/>
    <s v="PROD-BEA-102"/>
    <x v="2"/>
    <x v="5"/>
    <n v="1"/>
    <n v="25"/>
    <n v="69"/>
    <n v="69"/>
    <n v="25"/>
    <n v="44"/>
  </r>
  <r>
    <x v="89"/>
    <s v="2025-07-07"/>
    <x v="6"/>
    <x v="3"/>
    <s v="CUST-1111"/>
    <x v="0"/>
    <x v="0"/>
    <s v="PROD-APP-102"/>
    <x v="3"/>
    <x v="10"/>
    <n v="1"/>
    <n v="25"/>
    <n v="55"/>
    <n v="55"/>
    <n v="25"/>
    <n v="30"/>
  </r>
  <r>
    <x v="90"/>
    <s v="2025-02-10"/>
    <x v="3"/>
    <x v="1"/>
    <s v="CUST-1029"/>
    <x v="1"/>
    <x v="1"/>
    <s v="PROD-ELE-102"/>
    <x v="0"/>
    <x v="0"/>
    <n v="1"/>
    <n v="50"/>
    <n v="99"/>
    <n v="99"/>
    <n v="50"/>
    <n v="49"/>
  </r>
  <r>
    <x v="91"/>
    <s v="2025-06-06"/>
    <x v="5"/>
    <x v="3"/>
    <s v="CUST-1075"/>
    <x v="1"/>
    <x v="0"/>
    <s v="PROD-APP-101"/>
    <x v="3"/>
    <x v="7"/>
    <n v="1"/>
    <n v="45"/>
    <n v="110"/>
    <n v="110"/>
    <n v="45"/>
    <n v="65"/>
  </r>
  <r>
    <x v="92"/>
    <s v="2025-01-15"/>
    <x v="0"/>
    <x v="0"/>
    <s v="CUST-1126"/>
    <x v="1"/>
    <x v="2"/>
    <s v="PROD-ELE-102"/>
    <x v="0"/>
    <x v="0"/>
    <n v="1"/>
    <n v="50"/>
    <n v="99"/>
    <n v="99"/>
    <n v="50"/>
    <n v="49"/>
  </r>
  <r>
    <x v="93"/>
    <s v="2025-10-28"/>
    <x v="7"/>
    <x v="0"/>
    <s v="CUST-1006"/>
    <x v="1"/>
    <x v="1"/>
    <s v="PROD-HOM-100"/>
    <x v="1"/>
    <x v="2"/>
    <n v="1"/>
    <n v="60"/>
    <n v="120"/>
    <n v="120"/>
    <n v="60"/>
    <n v="60"/>
  </r>
  <r>
    <x v="94"/>
    <s v="2025-03-06"/>
    <x v="1"/>
    <x v="1"/>
    <s v="CUST-1162"/>
    <x v="1"/>
    <x v="0"/>
    <s v="PROD-ELE-101"/>
    <x v="0"/>
    <x v="3"/>
    <n v="3"/>
    <n v="150"/>
    <n v="250"/>
    <n v="750"/>
    <n v="450"/>
    <n v="300"/>
  </r>
  <r>
    <x v="95"/>
    <s v="2025-12-11"/>
    <x v="4"/>
    <x v="2"/>
    <s v="CUST-1072"/>
    <x v="1"/>
    <x v="2"/>
    <s v="PROD-ELE-100"/>
    <x v="0"/>
    <x v="1"/>
    <n v="1"/>
    <n v="800"/>
    <n v="1200"/>
    <n v="1200"/>
    <n v="800"/>
    <n v="400"/>
  </r>
  <r>
    <x v="96"/>
    <s v="2025-11-23"/>
    <x v="7"/>
    <x v="0"/>
    <s v="CUST-1050"/>
    <x v="0"/>
    <x v="1"/>
    <s v="PROD-BEA-100"/>
    <x v="2"/>
    <x v="8"/>
    <n v="4"/>
    <n v="15"/>
    <n v="45"/>
    <n v="180"/>
    <n v="60"/>
    <n v="120"/>
  </r>
  <r>
    <x v="97"/>
    <s v="2025-01-09"/>
    <x v="1"/>
    <x v="1"/>
    <s v="CUST-1148"/>
    <x v="0"/>
    <x v="1"/>
    <s v="PROD-APP-102"/>
    <x v="3"/>
    <x v="10"/>
    <n v="1"/>
    <n v="25"/>
    <n v="55"/>
    <n v="55"/>
    <n v="25"/>
    <n v="30"/>
  </r>
  <r>
    <x v="98"/>
    <s v="2025-12-10"/>
    <x v="2"/>
    <x v="2"/>
    <s v="CUST-1228"/>
    <x v="1"/>
    <x v="0"/>
    <s v="PROD-BEA-102"/>
    <x v="2"/>
    <x v="5"/>
    <n v="2"/>
    <n v="25"/>
    <n v="69"/>
    <n v="138"/>
    <n v="50"/>
    <n v="88"/>
  </r>
  <r>
    <x v="99"/>
    <s v="2025-05-09"/>
    <x v="5"/>
    <x v="3"/>
    <s v="CUST-1130"/>
    <x v="1"/>
    <x v="1"/>
    <s v="PROD-ELE-100"/>
    <x v="0"/>
    <x v="1"/>
    <n v="1"/>
    <n v="800"/>
    <n v="1200"/>
    <n v="1200"/>
    <n v="800"/>
    <n v="400"/>
  </r>
  <r>
    <x v="100"/>
    <s v="2025-05-16"/>
    <x v="3"/>
    <x v="1"/>
    <s v="CUST-1064"/>
    <x v="2"/>
    <x v="0"/>
    <s v="PROD-APP-102"/>
    <x v="3"/>
    <x v="10"/>
    <n v="2"/>
    <n v="25"/>
    <n v="55"/>
    <n v="110"/>
    <n v="50"/>
    <n v="60"/>
  </r>
  <r>
    <x v="101"/>
    <s v="2025-03-04"/>
    <x v="6"/>
    <x v="3"/>
    <s v="CUST-1102"/>
    <x v="0"/>
    <x v="1"/>
    <s v="PROD-HOM-100"/>
    <x v="1"/>
    <x v="2"/>
    <n v="1"/>
    <n v="60"/>
    <n v="120"/>
    <n v="120"/>
    <n v="60"/>
    <n v="60"/>
  </r>
  <r>
    <x v="102"/>
    <s v="2025-05-19"/>
    <x v="6"/>
    <x v="3"/>
    <s v="CUST-1160"/>
    <x v="0"/>
    <x v="2"/>
    <s v="PROD-BEA-100"/>
    <x v="2"/>
    <x v="8"/>
    <n v="1"/>
    <n v="15"/>
    <n v="45"/>
    <n v="45"/>
    <n v="15"/>
    <n v="30"/>
  </r>
  <r>
    <x v="103"/>
    <s v="2025-03-22"/>
    <x v="2"/>
    <x v="2"/>
    <s v="CUST-1097"/>
    <x v="1"/>
    <x v="0"/>
    <s v="PROD-ELE-101"/>
    <x v="0"/>
    <x v="3"/>
    <n v="1"/>
    <n v="150"/>
    <n v="250"/>
    <n v="250"/>
    <n v="150"/>
    <n v="100"/>
  </r>
  <r>
    <x v="104"/>
    <s v="2025-06-12"/>
    <x v="2"/>
    <x v="2"/>
    <s v="CUST-1150"/>
    <x v="2"/>
    <x v="0"/>
    <s v="PROD-APP-101"/>
    <x v="3"/>
    <x v="7"/>
    <n v="2"/>
    <n v="45"/>
    <n v="110"/>
    <n v="220"/>
    <n v="90"/>
    <n v="130"/>
  </r>
  <r>
    <x v="105"/>
    <s v="2025-10-16"/>
    <x v="7"/>
    <x v="0"/>
    <s v="CUST-1106"/>
    <x v="1"/>
    <x v="2"/>
    <s v="PROD-HOM-100"/>
    <x v="1"/>
    <x v="2"/>
    <n v="2"/>
    <n v="60"/>
    <n v="120"/>
    <n v="240"/>
    <n v="120"/>
    <n v="120"/>
  </r>
  <r>
    <x v="106"/>
    <s v="2025-09-18"/>
    <x v="1"/>
    <x v="1"/>
    <s v="CUST-1006"/>
    <x v="0"/>
    <x v="0"/>
    <s v="PROD-ELE-101"/>
    <x v="0"/>
    <x v="3"/>
    <n v="4"/>
    <n v="150"/>
    <n v="250"/>
    <n v="1000"/>
    <n v="600"/>
    <n v="400"/>
  </r>
  <r>
    <x v="107"/>
    <s v="2025-08-19"/>
    <x v="2"/>
    <x v="2"/>
    <s v="CUST-1092"/>
    <x v="1"/>
    <x v="1"/>
    <s v="PROD-HOM-102"/>
    <x v="1"/>
    <x v="4"/>
    <n v="1"/>
    <n v="30"/>
    <n v="75"/>
    <n v="75"/>
    <n v="30"/>
    <n v="45"/>
  </r>
  <r>
    <x v="108"/>
    <s v="2025-02-10"/>
    <x v="2"/>
    <x v="2"/>
    <s v="CUST-1132"/>
    <x v="0"/>
    <x v="0"/>
    <s v="PROD-HOM-102"/>
    <x v="1"/>
    <x v="4"/>
    <n v="1"/>
    <n v="30"/>
    <n v="75"/>
    <n v="75"/>
    <n v="30"/>
    <n v="45"/>
  </r>
  <r>
    <x v="109"/>
    <s v="2025-01-28"/>
    <x v="2"/>
    <x v="2"/>
    <s v="CUST-1014"/>
    <x v="1"/>
    <x v="2"/>
    <s v="PROD-HOM-100"/>
    <x v="1"/>
    <x v="2"/>
    <n v="1"/>
    <n v="60"/>
    <n v="120"/>
    <n v="120"/>
    <n v="60"/>
    <n v="60"/>
  </r>
  <r>
    <x v="110"/>
    <s v="2025-05-15"/>
    <x v="7"/>
    <x v="0"/>
    <s v="CUST-1147"/>
    <x v="1"/>
    <x v="1"/>
    <s v="PROD-BEA-100"/>
    <x v="2"/>
    <x v="8"/>
    <n v="2"/>
    <n v="15"/>
    <n v="45"/>
    <n v="90"/>
    <n v="30"/>
    <n v="60"/>
  </r>
  <r>
    <x v="111"/>
    <s v="2025-07-20"/>
    <x v="7"/>
    <x v="0"/>
    <s v="CUST-1051"/>
    <x v="1"/>
    <x v="2"/>
    <s v="PROD-HOM-101"/>
    <x v="1"/>
    <x v="9"/>
    <n v="1"/>
    <n v="40"/>
    <n v="89"/>
    <n v="89"/>
    <n v="40"/>
    <n v="49"/>
  </r>
  <r>
    <x v="112"/>
    <s v="2025-11-24"/>
    <x v="4"/>
    <x v="2"/>
    <s v="CUST-1059"/>
    <x v="1"/>
    <x v="0"/>
    <s v="PROD-HOM-100"/>
    <x v="1"/>
    <x v="2"/>
    <n v="1"/>
    <n v="60"/>
    <n v="120"/>
    <n v="120"/>
    <n v="60"/>
    <n v="60"/>
  </r>
  <r>
    <x v="113"/>
    <s v="2025-09-25"/>
    <x v="0"/>
    <x v="0"/>
    <s v="CUST-1097"/>
    <x v="1"/>
    <x v="1"/>
    <s v="PROD-ELE-102"/>
    <x v="0"/>
    <x v="0"/>
    <n v="1"/>
    <n v="50"/>
    <n v="99"/>
    <n v="99"/>
    <n v="50"/>
    <n v="49"/>
  </r>
  <r>
    <x v="114"/>
    <s v="2025-02-02"/>
    <x v="2"/>
    <x v="2"/>
    <s v="CUST-1037"/>
    <x v="1"/>
    <x v="0"/>
    <s v="PROD-BEA-101"/>
    <x v="2"/>
    <x v="11"/>
    <n v="3"/>
    <n v="35"/>
    <n v="95"/>
    <n v="285"/>
    <n v="105"/>
    <n v="180"/>
  </r>
  <r>
    <x v="115"/>
    <s v="2025-02-17"/>
    <x v="4"/>
    <x v="2"/>
    <s v="CUST-1164"/>
    <x v="1"/>
    <x v="2"/>
    <s v="PROD-BEA-101"/>
    <x v="2"/>
    <x v="11"/>
    <n v="1"/>
    <n v="35"/>
    <n v="95"/>
    <n v="95"/>
    <n v="35"/>
    <n v="60"/>
  </r>
  <r>
    <x v="116"/>
    <s v="2025-03-03"/>
    <x v="2"/>
    <x v="2"/>
    <s v="CUST-1039"/>
    <x v="0"/>
    <x v="0"/>
    <s v="PROD-APP-100"/>
    <x v="3"/>
    <x v="6"/>
    <n v="1"/>
    <n v="20"/>
    <n v="60"/>
    <n v="60"/>
    <n v="20"/>
    <n v="40"/>
  </r>
  <r>
    <x v="117"/>
    <s v="2025-08-04"/>
    <x v="6"/>
    <x v="3"/>
    <s v="CUST-1040"/>
    <x v="1"/>
    <x v="1"/>
    <s v="PROD-APP-101"/>
    <x v="3"/>
    <x v="7"/>
    <n v="1"/>
    <n v="45"/>
    <n v="110"/>
    <n v="110"/>
    <n v="45"/>
    <n v="65"/>
  </r>
  <r>
    <x v="118"/>
    <s v="2025-10-20"/>
    <x v="2"/>
    <x v="2"/>
    <s v="CUST-1078"/>
    <x v="1"/>
    <x v="0"/>
    <s v="PROD-APP-100"/>
    <x v="3"/>
    <x v="6"/>
    <n v="1"/>
    <n v="20"/>
    <n v="60"/>
    <n v="60"/>
    <n v="20"/>
    <n v="40"/>
  </r>
  <r>
    <x v="119"/>
    <s v="2025-04-09"/>
    <x v="3"/>
    <x v="1"/>
    <s v="CUST-1125"/>
    <x v="0"/>
    <x v="0"/>
    <s v="PROD-ELE-101"/>
    <x v="0"/>
    <x v="3"/>
    <n v="1"/>
    <n v="150"/>
    <n v="250"/>
    <n v="250"/>
    <n v="150"/>
    <n v="100"/>
  </r>
  <r>
    <x v="120"/>
    <s v="2025-06-21"/>
    <x v="5"/>
    <x v="3"/>
    <s v="CUST-1089"/>
    <x v="1"/>
    <x v="1"/>
    <s v="PROD-ELE-100"/>
    <x v="0"/>
    <x v="1"/>
    <n v="1"/>
    <n v="800"/>
    <n v="1200"/>
    <n v="1200"/>
    <n v="800"/>
    <n v="400"/>
  </r>
  <r>
    <x v="121"/>
    <s v="2025-12-26"/>
    <x v="2"/>
    <x v="2"/>
    <s v="CUST-1184"/>
    <x v="1"/>
    <x v="0"/>
    <s v="PROD-HOM-102"/>
    <x v="1"/>
    <x v="4"/>
    <n v="3"/>
    <n v="30"/>
    <n v="75"/>
    <n v="225"/>
    <n v="90"/>
    <n v="135"/>
  </r>
  <r>
    <x v="122"/>
    <s v="2025-08-02"/>
    <x v="3"/>
    <x v="1"/>
    <s v="CUST-1080"/>
    <x v="1"/>
    <x v="0"/>
    <s v="PROD-APP-100"/>
    <x v="3"/>
    <x v="6"/>
    <n v="1"/>
    <n v="20"/>
    <n v="60"/>
    <n v="60"/>
    <n v="20"/>
    <n v="40"/>
  </r>
  <r>
    <x v="123"/>
    <s v="2025-02-04"/>
    <x v="2"/>
    <x v="2"/>
    <s v="CUST-1171"/>
    <x v="1"/>
    <x v="1"/>
    <s v="PROD-APP-100"/>
    <x v="3"/>
    <x v="6"/>
    <n v="2"/>
    <n v="20"/>
    <n v="60"/>
    <n v="120"/>
    <n v="40"/>
    <n v="80"/>
  </r>
  <r>
    <x v="124"/>
    <s v="2025-08-15"/>
    <x v="0"/>
    <x v="0"/>
    <s v="CUST-1204"/>
    <x v="0"/>
    <x v="0"/>
    <s v="PROD-BEA-102"/>
    <x v="2"/>
    <x v="5"/>
    <n v="3"/>
    <n v="25"/>
    <n v="69"/>
    <n v="207"/>
    <n v="75"/>
    <n v="132"/>
  </r>
  <r>
    <x v="125"/>
    <s v="2025-04-11"/>
    <x v="4"/>
    <x v="2"/>
    <s v="CUST-1189"/>
    <x v="2"/>
    <x v="2"/>
    <s v="PROD-ELE-102"/>
    <x v="0"/>
    <x v="0"/>
    <n v="1"/>
    <n v="50"/>
    <n v="99"/>
    <n v="99"/>
    <n v="50"/>
    <n v="49"/>
  </r>
  <r>
    <x v="126"/>
    <s v="2025-05-11"/>
    <x v="1"/>
    <x v="1"/>
    <s v="CUST-1001"/>
    <x v="0"/>
    <x v="2"/>
    <s v="PROD-ELE-102"/>
    <x v="0"/>
    <x v="0"/>
    <n v="1"/>
    <n v="50"/>
    <n v="99"/>
    <n v="99"/>
    <n v="50"/>
    <n v="49"/>
  </r>
  <r>
    <x v="127"/>
    <s v="2025-09-14"/>
    <x v="5"/>
    <x v="3"/>
    <s v="CUST-1206"/>
    <x v="1"/>
    <x v="0"/>
    <s v="PROD-APP-102"/>
    <x v="3"/>
    <x v="10"/>
    <n v="1"/>
    <n v="25"/>
    <n v="55"/>
    <n v="55"/>
    <n v="25"/>
    <n v="30"/>
  </r>
  <r>
    <x v="128"/>
    <s v="2025-01-05"/>
    <x v="1"/>
    <x v="1"/>
    <s v="CUST-1050"/>
    <x v="0"/>
    <x v="1"/>
    <s v="PROD-BEA-102"/>
    <x v="2"/>
    <x v="5"/>
    <n v="1"/>
    <n v="25"/>
    <n v="69"/>
    <n v="69"/>
    <n v="25"/>
    <n v="44"/>
  </r>
  <r>
    <x v="129"/>
    <s v="2025-08-06"/>
    <x v="7"/>
    <x v="0"/>
    <s v="CUST-1038"/>
    <x v="1"/>
    <x v="2"/>
    <s v="PROD-ELE-101"/>
    <x v="0"/>
    <x v="3"/>
    <n v="1"/>
    <n v="150"/>
    <n v="250"/>
    <n v="250"/>
    <n v="150"/>
    <n v="100"/>
  </r>
  <r>
    <x v="130"/>
    <s v="2025-09-12"/>
    <x v="7"/>
    <x v="0"/>
    <s v="CUST-1242"/>
    <x v="0"/>
    <x v="2"/>
    <s v="PROD-ELE-101"/>
    <x v="0"/>
    <x v="3"/>
    <n v="3"/>
    <n v="150"/>
    <n v="250"/>
    <n v="750"/>
    <n v="450"/>
    <n v="300"/>
  </r>
  <r>
    <x v="131"/>
    <s v="2025-12-25"/>
    <x v="1"/>
    <x v="1"/>
    <s v="CUST-1034"/>
    <x v="2"/>
    <x v="0"/>
    <s v="PROD-HOM-101"/>
    <x v="1"/>
    <x v="9"/>
    <n v="1"/>
    <n v="40"/>
    <n v="89"/>
    <n v="89"/>
    <n v="40"/>
    <n v="49"/>
  </r>
  <r>
    <x v="132"/>
    <s v="2025-10-10"/>
    <x v="1"/>
    <x v="1"/>
    <s v="CUST-1026"/>
    <x v="0"/>
    <x v="1"/>
    <s v="PROD-BEA-102"/>
    <x v="2"/>
    <x v="5"/>
    <n v="4"/>
    <n v="25"/>
    <n v="69"/>
    <n v="276"/>
    <n v="100"/>
    <n v="176"/>
  </r>
  <r>
    <x v="133"/>
    <s v="2025-07-26"/>
    <x v="3"/>
    <x v="1"/>
    <s v="CUST-1033"/>
    <x v="2"/>
    <x v="0"/>
    <s v="PROD-APP-100"/>
    <x v="3"/>
    <x v="6"/>
    <n v="2"/>
    <n v="20"/>
    <n v="60"/>
    <n v="120"/>
    <n v="40"/>
    <n v="80"/>
  </r>
  <r>
    <x v="134"/>
    <s v="2025-01-15"/>
    <x v="6"/>
    <x v="3"/>
    <s v="CUST-1190"/>
    <x v="2"/>
    <x v="0"/>
    <s v="PROD-APP-102"/>
    <x v="3"/>
    <x v="10"/>
    <n v="5"/>
    <n v="25"/>
    <n v="55"/>
    <n v="275"/>
    <n v="125"/>
    <n v="150"/>
  </r>
  <r>
    <x v="135"/>
    <s v="2025-12-12"/>
    <x v="5"/>
    <x v="3"/>
    <s v="CUST-1176"/>
    <x v="1"/>
    <x v="1"/>
    <s v="PROD-HOM-100"/>
    <x v="1"/>
    <x v="2"/>
    <n v="1"/>
    <n v="60"/>
    <n v="120"/>
    <n v="120"/>
    <n v="60"/>
    <n v="60"/>
  </r>
  <r>
    <x v="136"/>
    <s v="2025-02-11"/>
    <x v="1"/>
    <x v="1"/>
    <s v="CUST-1102"/>
    <x v="0"/>
    <x v="0"/>
    <s v="PROD-APP-101"/>
    <x v="3"/>
    <x v="7"/>
    <n v="2"/>
    <n v="45"/>
    <n v="110"/>
    <n v="220"/>
    <n v="90"/>
    <n v="130"/>
  </r>
  <r>
    <x v="137"/>
    <s v="2025-06-28"/>
    <x v="5"/>
    <x v="3"/>
    <s v="CUST-1083"/>
    <x v="1"/>
    <x v="1"/>
    <s v="PROD-APP-101"/>
    <x v="3"/>
    <x v="7"/>
    <n v="2"/>
    <n v="45"/>
    <n v="110"/>
    <n v="220"/>
    <n v="90"/>
    <n v="130"/>
  </r>
  <r>
    <x v="138"/>
    <s v="2025-03-04"/>
    <x v="5"/>
    <x v="3"/>
    <s v="CUST-1065"/>
    <x v="1"/>
    <x v="0"/>
    <s v="PROD-ELE-102"/>
    <x v="0"/>
    <x v="0"/>
    <n v="1"/>
    <n v="50"/>
    <n v="99"/>
    <n v="99"/>
    <n v="50"/>
    <n v="49"/>
  </r>
  <r>
    <x v="139"/>
    <s v="2025-12-18"/>
    <x v="5"/>
    <x v="3"/>
    <s v="CUST-1049"/>
    <x v="1"/>
    <x v="0"/>
    <s v="PROD-APP-101"/>
    <x v="3"/>
    <x v="7"/>
    <n v="1"/>
    <n v="45"/>
    <n v="110"/>
    <n v="110"/>
    <n v="45"/>
    <n v="65"/>
  </r>
  <r>
    <x v="140"/>
    <s v="2025-08-19"/>
    <x v="2"/>
    <x v="2"/>
    <s v="CUST-1206"/>
    <x v="0"/>
    <x v="0"/>
    <s v="PROD-HOM-100"/>
    <x v="1"/>
    <x v="2"/>
    <n v="3"/>
    <n v="60"/>
    <n v="120"/>
    <n v="360"/>
    <n v="180"/>
    <n v="180"/>
  </r>
  <r>
    <x v="141"/>
    <s v="2025-08-29"/>
    <x v="2"/>
    <x v="2"/>
    <s v="CUST-1198"/>
    <x v="0"/>
    <x v="1"/>
    <s v="PROD-ELE-100"/>
    <x v="0"/>
    <x v="1"/>
    <n v="1"/>
    <n v="800"/>
    <n v="1200"/>
    <n v="1200"/>
    <n v="800"/>
    <n v="400"/>
  </r>
  <r>
    <x v="142"/>
    <s v="2025-02-21"/>
    <x v="5"/>
    <x v="3"/>
    <s v="CUST-1044"/>
    <x v="1"/>
    <x v="0"/>
    <s v="PROD-HOM-101"/>
    <x v="1"/>
    <x v="9"/>
    <n v="2"/>
    <n v="40"/>
    <n v="89"/>
    <n v="178"/>
    <n v="80"/>
    <n v="98"/>
  </r>
  <r>
    <x v="143"/>
    <s v="2025-04-06"/>
    <x v="4"/>
    <x v="2"/>
    <s v="CUST-1171"/>
    <x v="1"/>
    <x v="2"/>
    <s v="PROD-HOM-102"/>
    <x v="1"/>
    <x v="4"/>
    <n v="1"/>
    <n v="30"/>
    <n v="75"/>
    <n v="75"/>
    <n v="30"/>
    <n v="45"/>
  </r>
  <r>
    <x v="144"/>
    <s v="2025-08-10"/>
    <x v="0"/>
    <x v="0"/>
    <s v="CUST-1036"/>
    <x v="1"/>
    <x v="1"/>
    <s v="PROD-ELE-100"/>
    <x v="0"/>
    <x v="1"/>
    <n v="1"/>
    <n v="800"/>
    <n v="1200"/>
    <n v="1200"/>
    <n v="800"/>
    <n v="400"/>
  </r>
  <r>
    <x v="145"/>
    <s v="2025-08-19"/>
    <x v="3"/>
    <x v="1"/>
    <s v="CUST-1125"/>
    <x v="0"/>
    <x v="0"/>
    <s v="PROD-APP-102"/>
    <x v="3"/>
    <x v="10"/>
    <n v="4"/>
    <n v="25"/>
    <n v="55"/>
    <n v="220"/>
    <n v="100"/>
    <n v="120"/>
  </r>
  <r>
    <x v="146"/>
    <s v="2025-08-25"/>
    <x v="4"/>
    <x v="2"/>
    <s v="CUST-1136"/>
    <x v="0"/>
    <x v="0"/>
    <s v="PROD-APP-101"/>
    <x v="3"/>
    <x v="7"/>
    <n v="1"/>
    <n v="45"/>
    <n v="110"/>
    <n v="110"/>
    <n v="45"/>
    <n v="65"/>
  </r>
  <r>
    <x v="147"/>
    <s v="2025-05-23"/>
    <x v="2"/>
    <x v="2"/>
    <s v="CUST-1089"/>
    <x v="1"/>
    <x v="0"/>
    <s v="PROD-BEA-101"/>
    <x v="2"/>
    <x v="11"/>
    <n v="2"/>
    <n v="35"/>
    <n v="95"/>
    <n v="190"/>
    <n v="70"/>
    <n v="120"/>
  </r>
  <r>
    <x v="148"/>
    <s v="2025-06-20"/>
    <x v="0"/>
    <x v="0"/>
    <s v="CUST-1191"/>
    <x v="0"/>
    <x v="2"/>
    <s v="PROD-APP-101"/>
    <x v="3"/>
    <x v="7"/>
    <n v="3"/>
    <n v="45"/>
    <n v="110"/>
    <n v="330"/>
    <n v="135"/>
    <n v="1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CF968E-C7EA-47F9-B35D-9A868B02F0E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6">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dataField="1" showAll="0"/>
  </pivotFields>
  <rowItems count="1">
    <i/>
  </rowItems>
  <colFields count="1">
    <field x="-2"/>
  </colFields>
  <colItems count="3">
    <i>
      <x/>
    </i>
    <i i="1">
      <x v="1"/>
    </i>
    <i i="2">
      <x v="2"/>
    </i>
  </colItems>
  <dataFields count="3">
    <dataField name="Sum of Revenue" fld="13" baseField="0" baseItem="0"/>
    <dataField name="Sum of Profit" fld="15" baseField="0" baseItem="0"/>
    <dataField name="Sum of Quantity_Sold"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36C153-BF60-43B4-966C-E9C2D02BBA4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10" firstHeaderRow="0" firstDataRow="1" firstDataCol="1"/>
  <pivotFields count="16">
    <pivotField showAll="0"/>
    <pivotField showAll="0"/>
    <pivotField showAll="0"/>
    <pivotField showAll="0"/>
    <pivotField showAll="0"/>
    <pivotField showAll="0"/>
    <pivotField showAll="0"/>
    <pivotField showAll="0"/>
    <pivotField showAll="0"/>
    <pivotField axis="axisRow" showAll="0">
      <items count="13">
        <item x="2"/>
        <item x="4"/>
        <item x="6"/>
        <item h="1" x="9"/>
        <item x="11"/>
        <item x="10"/>
        <item h="1" x="1"/>
        <item h="1" x="7"/>
        <item x="8"/>
        <item h="1" x="3"/>
        <item h="1" x="5"/>
        <item h="1" x="0"/>
        <item t="default"/>
      </items>
    </pivotField>
    <pivotField showAll="0"/>
    <pivotField showAll="0"/>
    <pivotField showAll="0"/>
    <pivotField dataField="1" showAll="0"/>
    <pivotField showAll="0"/>
    <pivotField dataField="1" showAll="0"/>
  </pivotFields>
  <rowFields count="1">
    <field x="9"/>
  </rowFields>
  <rowItems count="7">
    <i>
      <x/>
    </i>
    <i>
      <x v="1"/>
    </i>
    <i>
      <x v="2"/>
    </i>
    <i>
      <x v="4"/>
    </i>
    <i>
      <x v="5"/>
    </i>
    <i>
      <x v="8"/>
    </i>
    <i t="grand">
      <x/>
    </i>
  </rowItems>
  <colFields count="1">
    <field x="-2"/>
  </colFields>
  <colItems count="2">
    <i>
      <x/>
    </i>
    <i i="1">
      <x v="1"/>
    </i>
  </colItems>
  <dataFields count="2">
    <dataField name="Sum of Profit" fld="15" baseField="0" baseItem="0"/>
    <dataField name="Sum of Revenue" fld="1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81252B-5585-45B2-8512-543E1959E9A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16">
    <pivotField showAll="0"/>
    <pivotField showAll="0"/>
    <pivotField showAll="0"/>
    <pivotField showAll="0">
      <items count="5">
        <item x="0"/>
        <item h="1" x="3"/>
        <item h="1" x="1"/>
        <item h="1" x="2"/>
        <item t="default"/>
      </items>
    </pivotField>
    <pivotField showAll="0"/>
    <pivotField showAll="0"/>
    <pivotField axis="axisRow" showAll="0">
      <items count="4">
        <item x="2"/>
        <item x="0"/>
        <item x="1"/>
        <item t="default"/>
      </items>
    </pivotField>
    <pivotField showAll="0"/>
    <pivotField showAll="0"/>
    <pivotField showAll="0"/>
    <pivotField dataField="1" showAll="0"/>
    <pivotField showAll="0"/>
    <pivotField showAll="0"/>
    <pivotField showAll="0"/>
    <pivotField showAll="0"/>
    <pivotField showAll="0"/>
  </pivotFields>
  <rowFields count="1">
    <field x="6"/>
  </rowFields>
  <rowItems count="4">
    <i>
      <x/>
    </i>
    <i>
      <x v="1"/>
    </i>
    <i>
      <x v="2"/>
    </i>
    <i t="grand">
      <x/>
    </i>
  </rowItems>
  <colItems count="1">
    <i/>
  </colItems>
  <dataFields count="1">
    <dataField name="Sum of Quantity_Sold" fld="10" baseField="0" baseItem="0"/>
  </dataFields>
  <chartFormats count="8">
    <chartFormat chart="0"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6" count="1" selected="0">
            <x v="0"/>
          </reference>
        </references>
      </pivotArea>
    </chartFormat>
    <chartFormat chart="9" format="7">
      <pivotArea type="data" outline="0" fieldPosition="0">
        <references count="2">
          <reference field="4294967294" count="1" selected="0">
            <x v="0"/>
          </reference>
          <reference field="6" count="1" selected="0">
            <x v="1"/>
          </reference>
        </references>
      </pivotArea>
    </chartFormat>
    <chartFormat chart="9" format="8">
      <pivotArea type="data" outline="0" fieldPosition="0">
        <references count="2">
          <reference field="4294967294" count="1" selected="0">
            <x v="0"/>
          </reference>
          <reference field="6" count="1" selected="0">
            <x v="2"/>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3E138D-3003-4AC9-A2B1-3DF0E007715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2" firstHeaderRow="1" firstDataRow="1" firstDataCol="1"/>
  <pivotFields count="16">
    <pivotField showAll="0"/>
    <pivotField showAll="0"/>
    <pivotField showAll="0"/>
    <pivotField showAll="0"/>
    <pivotField showAll="0"/>
    <pivotField showAll="0"/>
    <pivotField axis="axisRow" showAll="0">
      <items count="4">
        <item h="1" x="2"/>
        <item x="0"/>
        <item h="1" x="1"/>
        <item t="default"/>
      </items>
    </pivotField>
    <pivotField showAll="0"/>
    <pivotField axis="axisRow" showAll="0">
      <items count="5">
        <item x="3"/>
        <item x="2"/>
        <item x="0"/>
        <item x="1"/>
        <item t="default"/>
      </items>
    </pivotField>
    <pivotField showAll="0"/>
    <pivotField dataField="1" showAll="0"/>
    <pivotField showAll="0"/>
    <pivotField showAll="0"/>
    <pivotField showAll="0"/>
    <pivotField showAll="0"/>
    <pivotField showAll="0"/>
  </pivotFields>
  <rowFields count="2">
    <field x="8"/>
    <field x="6"/>
  </rowFields>
  <rowItems count="9">
    <i>
      <x/>
    </i>
    <i r="1">
      <x v="1"/>
    </i>
    <i>
      <x v="1"/>
    </i>
    <i r="1">
      <x v="1"/>
    </i>
    <i>
      <x v="2"/>
    </i>
    <i r="1">
      <x v="1"/>
    </i>
    <i>
      <x v="3"/>
    </i>
    <i r="1">
      <x v="1"/>
    </i>
    <i t="grand">
      <x/>
    </i>
  </rowItems>
  <colItems count="1">
    <i/>
  </colItems>
  <dataFields count="1">
    <dataField name="Sum of Quantity_Sold"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0B1BBD-AD8F-4F64-9601-4260EC6239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6">
    <pivotField showAll="0"/>
    <pivotField showAll="0"/>
    <pivotField showAll="0"/>
    <pivotField showAll="0"/>
    <pivotField showAll="0"/>
    <pivotField showAll="0"/>
    <pivotField showAll="0"/>
    <pivotField showAll="0"/>
    <pivotField showAll="0">
      <items count="5">
        <item x="3"/>
        <item x="2"/>
        <item x="0"/>
        <item x="1"/>
        <item t="default"/>
      </items>
    </pivotField>
    <pivotField axis="axisRow" showAll="0">
      <items count="13">
        <item x="2"/>
        <item x="4"/>
        <item x="6"/>
        <item x="9"/>
        <item x="11"/>
        <item x="10"/>
        <item x="1"/>
        <item x="7"/>
        <item x="8"/>
        <item x="3"/>
        <item x="5"/>
        <item x="0"/>
        <item t="default"/>
      </items>
    </pivotField>
    <pivotField showAll="0"/>
    <pivotField showAll="0"/>
    <pivotField showAll="0"/>
    <pivotField showAll="0"/>
    <pivotField showAll="0"/>
    <pivotField dataField="1" showAll="0"/>
  </pivotFields>
  <rowFields count="1">
    <field x="9"/>
  </rowFields>
  <rowItems count="13">
    <i>
      <x/>
    </i>
    <i>
      <x v="1"/>
    </i>
    <i>
      <x v="2"/>
    </i>
    <i>
      <x v="3"/>
    </i>
    <i>
      <x v="4"/>
    </i>
    <i>
      <x v="5"/>
    </i>
    <i>
      <x v="6"/>
    </i>
    <i>
      <x v="7"/>
    </i>
    <i>
      <x v="8"/>
    </i>
    <i>
      <x v="9"/>
    </i>
    <i>
      <x v="10"/>
    </i>
    <i>
      <x v="11"/>
    </i>
    <i t="grand">
      <x/>
    </i>
  </rowItems>
  <colItems count="1">
    <i/>
  </colItems>
  <dataFields count="1">
    <dataField name="Sum of Profit" fld="15"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614919-B029-47E7-A96A-5116F0684C5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5" firstHeaderRow="0" firstDataRow="1" firstDataCol="1"/>
  <pivotFields count="16">
    <pivotField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showAll="0"/>
    <pivotField axis="axisRow" showAll="0">
      <items count="9">
        <item x="1"/>
        <item x="7"/>
        <item x="5"/>
        <item x="6"/>
        <item x="4"/>
        <item x="3"/>
        <item x="0"/>
        <item x="2"/>
        <item t="default"/>
      </items>
    </pivotField>
    <pivotField axis="axisRow" showAll="0">
      <items count="5">
        <item x="0"/>
        <item x="3"/>
        <item x="1"/>
        <item x="2"/>
        <item t="default"/>
      </items>
    </pivotField>
    <pivotField showAll="0"/>
    <pivotField showAll="0">
      <items count="4">
        <item h="1" x="0"/>
        <item h="1" x="1"/>
        <item x="2"/>
        <item t="default"/>
      </items>
    </pivotField>
    <pivotField showAll="0"/>
    <pivotField showAll="0"/>
    <pivotField showAll="0"/>
    <pivotField showAll="0"/>
    <pivotField showAll="0"/>
    <pivotField showAll="0"/>
    <pivotField showAll="0"/>
    <pivotField dataField="1" showAll="0"/>
    <pivotField showAll="0"/>
    <pivotField dataField="1" showAll="0"/>
  </pivotFields>
  <rowFields count="2">
    <field x="3"/>
    <field x="2"/>
  </rowFields>
  <rowItems count="12">
    <i>
      <x/>
    </i>
    <i r="1">
      <x v="1"/>
    </i>
    <i>
      <x v="1"/>
    </i>
    <i r="1">
      <x v="2"/>
    </i>
    <i r="1">
      <x v="3"/>
    </i>
    <i>
      <x v="2"/>
    </i>
    <i r="1">
      <x/>
    </i>
    <i r="1">
      <x v="5"/>
    </i>
    <i>
      <x v="3"/>
    </i>
    <i r="1">
      <x v="4"/>
    </i>
    <i r="1">
      <x v="7"/>
    </i>
    <i t="grand">
      <x/>
    </i>
  </rowItems>
  <colFields count="1">
    <field x="-2"/>
  </colFields>
  <colItems count="2">
    <i>
      <x/>
    </i>
    <i i="1">
      <x v="1"/>
    </i>
  </colItems>
  <dataFields count="2">
    <dataField name="Sum of Revenue" fld="13" baseField="0" baseItem="0"/>
    <dataField name="Sum of Profit" fld="1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5A011CAC-4EE8-4B70-BA86-7E822174369A}" sourceName="Product_Name">
  <pivotTables>
    <pivotTable tabId="2" name="PivotTable1"/>
  </pivotTables>
  <data>
    <tabular pivotCacheId="601159064">
      <items count="12">
        <i x="2" s="1"/>
        <i x="4" s="1"/>
        <i x="6" s="1"/>
        <i x="9"/>
        <i x="11" s="1"/>
        <i x="10" s="1"/>
        <i x="1"/>
        <i x="7"/>
        <i x="8" s="1"/>
        <i x="3"/>
        <i x="5"/>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9BD9A01-816C-4C53-B838-71153C3DD464}" sourceName="Segment">
  <pivotTables>
    <pivotTable tabId="4" name="PivotTable3"/>
  </pivotTables>
  <data>
    <tabular pivotCacheId="601159064">
      <items count="3">
        <i x="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5995C31-741D-400A-BC85-97442A912DC4}" sourceName="Product_Category">
  <pivotTables>
    <pivotTable tabId="5" name="PivotTable4"/>
  </pivotTables>
  <data>
    <tabular pivotCacheId="601159064">
      <items count="4">
        <i x="3" s="1"/>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2C90E5-3AAE-4396-819D-C180EFFC1A85}" sourceName="Region">
  <pivotTables>
    <pivotTable tabId="3" name="PivotTable2"/>
  </pivotTables>
  <data>
    <tabular pivotCacheId="601159064">
      <items count="4">
        <i x="0" s="1"/>
        <i x="3"/>
        <i x="1"/>
        <i x="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C841C36-0538-4CAD-8050-0C90A01B97FB}" sourceName="Gender">
  <pivotTables>
    <pivotTable tabId="6" name="PivotTable5"/>
  </pivotTables>
  <data>
    <tabular pivotCacheId="601159064">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1" xr10:uid="{CE9C6194-E1E3-4A69-81BA-1ABC44EFBE22}" cache="Slicer_Product_Name" caption="Product_Name" rowHeight="247650"/>
  <slicer name="Segment 1" xr10:uid="{1C411E8A-8BC5-4EB4-B758-ADEB8C1AB070}" cache="Slicer_Segment" caption="Segment" rowHeight="247650"/>
  <slicer name="Region 1" xr10:uid="{14521875-00A2-453D-BD2B-3EFEC3B10ECB}" cache="Slicer_Region" caption="Region" rowHeight="247650"/>
  <slicer name="Gender 1" xr10:uid="{962E8824-F7B8-4C43-9A80-85F9D243DB22}" cache="Slicer_Gender" caption="Gende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2784C918-7C64-4F2E-9304-55F82A934471}" cache="Slicer_Product_Name" caption="Product_Nam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30DB923-78D2-4D5C-9DF6-0AF5A78B199A}" cache="Slicer_Region" caption="Region"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76E4BD58-AFB9-4326-947F-481E81B7A36A}" cache="Slicer_Segment" caption="Segment"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82A08542-1509-4C27-B21D-D414E794CCE9}" cache="Slicer_Product_Category" caption="Product_Category"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F994EAE-DEDA-4F06-83E9-AFD15B3391BB}" cache="Slicer_Gender" caption="Gend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26E810-0C88-46BE-B522-80D561EC7906}" name="Table1" displayName="Table1" ref="A1:P150" totalsRowShown="0" headerRowDxfId="19" dataDxfId="17" headerRowBorderDxfId="18" tableBorderDxfId="16">
  <autoFilter ref="A1:P150" xr:uid="{2826E810-0C88-46BE-B522-80D561EC7906}"/>
  <tableColumns count="16">
    <tableColumn id="1" xr3:uid="{8832194C-C855-4500-9937-141041300F5F}" name="Transaction_ID" dataDxfId="15"/>
    <tableColumn id="3" xr3:uid="{5A0A1A4C-325F-462B-8A9B-7FFA0293A101}" name="Date" dataDxfId="14"/>
    <tableColumn id="4" xr3:uid="{D7BB243F-9A46-4569-B64C-4DEA01110360}" name="Store_Location" dataDxfId="13"/>
    <tableColumn id="5" xr3:uid="{1CFC7E72-FDD7-4C78-BFE3-C527E03D31E3}" name="Region" dataDxfId="12"/>
    <tableColumn id="6" xr3:uid="{E45BA87E-213A-438C-8B6B-CAFDD5EA96E4}" name="Customer_ID" dataDxfId="11"/>
    <tableColumn id="7" xr3:uid="{708AA269-4649-4F79-909A-3A40CD3C3B1E}" name="Gender" dataDxfId="10"/>
    <tableColumn id="8" xr3:uid="{0B83E7F6-C80A-49E8-A009-3BC031BF7CB2}" name="Segment" dataDxfId="9"/>
    <tableColumn id="9" xr3:uid="{FC7F2E3D-08A9-4C09-97FE-2E57B87C9E22}" name="Product_ID" dataDxfId="8"/>
    <tableColumn id="10" xr3:uid="{B368C397-0379-4A8D-B832-8DFBB739F6B8}" name="Product_Category" dataDxfId="7"/>
    <tableColumn id="11" xr3:uid="{46ECC69B-D9C7-422E-BE63-CF0F03B1B796}" name="Product_Name" dataDxfId="6"/>
    <tableColumn id="12" xr3:uid="{1A56BF9D-A23C-4843-AA78-8F450E54197F}" name="Quantity_Sold" dataDxfId="5"/>
    <tableColumn id="13" xr3:uid="{ECBAB1DB-7AD1-4B69-A326-B19028E473B5}" name="Unit_Cost" dataDxfId="4"/>
    <tableColumn id="14" xr3:uid="{FDD4E2DA-EE35-4B76-B1F8-DA49C4549695}" name="Unit_Price" dataDxfId="3"/>
    <tableColumn id="15" xr3:uid="{EA353914-DC6D-4087-B369-156AF576EE3F}" name="Revenue" dataDxfId="2"/>
    <tableColumn id="16" xr3:uid="{F8CA44A9-DD44-4322-B7A6-CC35F39B39FF}" name="Total_Cost" dataDxfId="1"/>
    <tableColumn id="17" xr3:uid="{1E5FF7EE-046C-4CD7-A325-F8A6397AEB04}" name="Profit" dataDxfId="0"/>
  </tableColumns>
  <tableStyleInfo name="TableStyleMedium9"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A2A5B-D2CF-4604-91B1-ACA041B708EB}">
  <dimension ref="A1:H4"/>
  <sheetViews>
    <sheetView workbookViewId="0">
      <selection activeCell="J10" sqref="J10"/>
    </sheetView>
  </sheetViews>
  <sheetFormatPr defaultRowHeight="14.4" x14ac:dyDescent="0.3"/>
  <cols>
    <col min="1" max="1" width="14.109375" bestFit="1" customWidth="1"/>
    <col min="2" max="2" width="11.5546875" bestFit="1" customWidth="1"/>
    <col min="3" max="3" width="18.88671875" bestFit="1" customWidth="1"/>
  </cols>
  <sheetData>
    <row r="1" spans="1:8" x14ac:dyDescent="0.3">
      <c r="A1" s="9" t="s">
        <v>453</v>
      </c>
      <c r="B1" s="10"/>
      <c r="C1" s="10"/>
      <c r="D1" s="10"/>
      <c r="E1" s="10"/>
      <c r="F1" s="10"/>
      <c r="G1" s="10"/>
      <c r="H1" s="10"/>
    </row>
    <row r="2" spans="1:8" x14ac:dyDescent="0.3">
      <c r="A2" s="10"/>
      <c r="B2" s="10"/>
      <c r="C2" s="10"/>
      <c r="D2" s="10"/>
      <c r="E2" s="10"/>
      <c r="F2" s="10"/>
      <c r="G2" s="10"/>
      <c r="H2" s="10"/>
    </row>
    <row r="3" spans="1:8" x14ac:dyDescent="0.3">
      <c r="A3" t="s">
        <v>444</v>
      </c>
      <c r="B3" t="s">
        <v>443</v>
      </c>
      <c r="C3" t="s">
        <v>447</v>
      </c>
    </row>
    <row r="4" spans="1:8" x14ac:dyDescent="0.3">
      <c r="A4">
        <v>49721</v>
      </c>
      <c r="B4">
        <v>21171</v>
      </c>
      <c r="C4">
        <v>261</v>
      </c>
    </row>
  </sheetData>
  <mergeCells count="1">
    <mergeCell ref="A1:H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74BDF-4C08-44B5-BEF5-2F41809112E5}">
  <dimension ref="A1"/>
  <sheetViews>
    <sheetView tabSelected="1" topLeftCell="A20" zoomScale="54" zoomScaleNormal="230" workbookViewId="0">
      <selection sqref="A1:XFD1048576"/>
    </sheetView>
  </sheetViews>
  <sheetFormatPr defaultRowHeight="14.4" x14ac:dyDescent="0.3"/>
  <cols>
    <col min="1" max="16384" width="8.88671875" style="8"/>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CEED4-4CED-4904-AB2E-8F50579C3B69}">
  <dimension ref="A1:O10"/>
  <sheetViews>
    <sheetView workbookViewId="0">
      <selection sqref="A1:O2"/>
    </sheetView>
  </sheetViews>
  <sheetFormatPr defaultRowHeight="14.4" x14ac:dyDescent="0.3"/>
  <cols>
    <col min="1" max="1" width="13.77734375" bestFit="1" customWidth="1"/>
    <col min="2" max="2" width="11.5546875" bestFit="1" customWidth="1"/>
    <col min="3" max="3" width="14.109375" bestFit="1" customWidth="1"/>
  </cols>
  <sheetData>
    <row r="1" spans="1:15" x14ac:dyDescent="0.3">
      <c r="A1" s="9" t="s">
        <v>452</v>
      </c>
      <c r="B1" s="10"/>
      <c r="C1" s="10"/>
      <c r="D1" s="10"/>
      <c r="E1" s="10"/>
      <c r="F1" s="10"/>
      <c r="G1" s="10"/>
      <c r="H1" s="10"/>
      <c r="I1" s="10"/>
      <c r="J1" s="10"/>
      <c r="K1" s="10"/>
      <c r="L1" s="10"/>
      <c r="M1" s="10"/>
      <c r="N1" s="10"/>
      <c r="O1" s="10"/>
    </row>
    <row r="2" spans="1:15" x14ac:dyDescent="0.3">
      <c r="A2" s="10"/>
      <c r="B2" s="10"/>
      <c r="C2" s="10"/>
      <c r="D2" s="10"/>
      <c r="E2" s="10"/>
      <c r="F2" s="10"/>
      <c r="G2" s="10"/>
      <c r="H2" s="10"/>
      <c r="I2" s="10"/>
      <c r="J2" s="10"/>
      <c r="K2" s="10"/>
      <c r="L2" s="10"/>
      <c r="M2" s="10"/>
      <c r="N2" s="10"/>
      <c r="O2" s="10"/>
    </row>
    <row r="3" spans="1:15" x14ac:dyDescent="0.3">
      <c r="A3" s="5" t="s">
        <v>445</v>
      </c>
      <c r="B3" t="s">
        <v>443</v>
      </c>
      <c r="C3" t="s">
        <v>444</v>
      </c>
    </row>
    <row r="4" spans="1:15" x14ac:dyDescent="0.3">
      <c r="A4" s="6" t="s">
        <v>39</v>
      </c>
      <c r="B4">
        <v>1500</v>
      </c>
      <c r="C4">
        <v>3000</v>
      </c>
    </row>
    <row r="5" spans="1:15" x14ac:dyDescent="0.3">
      <c r="A5" s="6" t="s">
        <v>56</v>
      </c>
      <c r="B5">
        <v>585</v>
      </c>
      <c r="C5">
        <v>975</v>
      </c>
    </row>
    <row r="6" spans="1:15" x14ac:dyDescent="0.3">
      <c r="A6" s="6" t="s">
        <v>81</v>
      </c>
      <c r="B6">
        <v>640</v>
      </c>
      <c r="C6">
        <v>960</v>
      </c>
    </row>
    <row r="7" spans="1:15" x14ac:dyDescent="0.3">
      <c r="A7" s="6" t="s">
        <v>174</v>
      </c>
      <c r="B7">
        <v>660</v>
      </c>
      <c r="C7">
        <v>1045</v>
      </c>
    </row>
    <row r="8" spans="1:15" x14ac:dyDescent="0.3">
      <c r="A8" s="6" t="s">
        <v>126</v>
      </c>
      <c r="B8">
        <v>690</v>
      </c>
      <c r="C8">
        <v>1265</v>
      </c>
    </row>
    <row r="9" spans="1:15" x14ac:dyDescent="0.3">
      <c r="A9" s="6" t="s">
        <v>91</v>
      </c>
      <c r="B9">
        <v>660</v>
      </c>
      <c r="C9">
        <v>990</v>
      </c>
    </row>
    <row r="10" spans="1:15" x14ac:dyDescent="0.3">
      <c r="A10" s="6" t="s">
        <v>446</v>
      </c>
      <c r="B10">
        <v>4735</v>
      </c>
      <c r="C10">
        <v>8235</v>
      </c>
    </row>
  </sheetData>
  <mergeCells count="1">
    <mergeCell ref="A1:O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CBB3F-C033-4931-A8F6-0AE7AF3D3C85}">
  <dimension ref="A1:K7"/>
  <sheetViews>
    <sheetView workbookViewId="0">
      <selection activeCell="I20" sqref="I20"/>
    </sheetView>
  </sheetViews>
  <sheetFormatPr defaultRowHeight="14.4" x14ac:dyDescent="0.3"/>
  <cols>
    <col min="1" max="1" width="12.44140625" bestFit="1" customWidth="1"/>
    <col min="2" max="2" width="18.88671875" bestFit="1" customWidth="1"/>
  </cols>
  <sheetData>
    <row r="1" spans="1:11" x14ac:dyDescent="0.3">
      <c r="A1" s="10" t="s">
        <v>451</v>
      </c>
      <c r="B1" s="10"/>
      <c r="C1" s="10"/>
      <c r="D1" s="10"/>
      <c r="E1" s="10"/>
      <c r="F1" s="10"/>
      <c r="G1" s="10"/>
      <c r="H1" s="10"/>
      <c r="I1" s="10"/>
      <c r="J1" s="10"/>
      <c r="K1" s="10"/>
    </row>
    <row r="2" spans="1:11" x14ac:dyDescent="0.3">
      <c r="A2" s="10"/>
      <c r="B2" s="10"/>
      <c r="C2" s="10"/>
      <c r="D2" s="10"/>
      <c r="E2" s="10"/>
      <c r="F2" s="10"/>
      <c r="G2" s="10"/>
      <c r="H2" s="10"/>
      <c r="I2" s="10"/>
      <c r="J2" s="10"/>
      <c r="K2" s="10"/>
    </row>
    <row r="3" spans="1:11" x14ac:dyDescent="0.3">
      <c r="A3" s="5" t="s">
        <v>445</v>
      </c>
      <c r="B3" t="s">
        <v>447</v>
      </c>
    </row>
    <row r="4" spans="1:11" x14ac:dyDescent="0.3">
      <c r="A4" s="6" t="s">
        <v>45</v>
      </c>
      <c r="B4">
        <v>17</v>
      </c>
    </row>
    <row r="5" spans="1:11" x14ac:dyDescent="0.3">
      <c r="A5" s="6" t="s">
        <v>21</v>
      </c>
      <c r="B5">
        <v>35</v>
      </c>
    </row>
    <row r="6" spans="1:11" x14ac:dyDescent="0.3">
      <c r="A6" s="6" t="s">
        <v>31</v>
      </c>
      <c r="B6">
        <v>17</v>
      </c>
    </row>
    <row r="7" spans="1:11" x14ac:dyDescent="0.3">
      <c r="A7" s="6" t="s">
        <v>446</v>
      </c>
      <c r="B7">
        <v>69</v>
      </c>
    </row>
  </sheetData>
  <mergeCells count="1">
    <mergeCell ref="A1:K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38677-B70A-47E0-9DFF-18B3E6319315}">
  <dimension ref="A1:L12"/>
  <sheetViews>
    <sheetView workbookViewId="0">
      <selection sqref="A1:L2"/>
    </sheetView>
  </sheetViews>
  <sheetFormatPr defaultRowHeight="14.4" x14ac:dyDescent="0.3"/>
  <cols>
    <col min="1" max="1" width="16" bestFit="1" customWidth="1"/>
    <col min="2" max="2" width="18.88671875" bestFit="1" customWidth="1"/>
  </cols>
  <sheetData>
    <row r="1" spans="1:12" x14ac:dyDescent="0.3">
      <c r="A1" s="9" t="s">
        <v>450</v>
      </c>
      <c r="B1" s="10"/>
      <c r="C1" s="10"/>
      <c r="D1" s="10"/>
      <c r="E1" s="10"/>
      <c r="F1" s="10"/>
      <c r="G1" s="10"/>
      <c r="H1" s="10"/>
      <c r="I1" s="10"/>
      <c r="J1" s="10"/>
      <c r="K1" s="10"/>
      <c r="L1" s="10"/>
    </row>
    <row r="2" spans="1:12" x14ac:dyDescent="0.3">
      <c r="A2" s="10"/>
      <c r="B2" s="10"/>
      <c r="C2" s="10"/>
      <c r="D2" s="10"/>
      <c r="E2" s="10"/>
      <c r="F2" s="10"/>
      <c r="G2" s="10"/>
      <c r="H2" s="10"/>
      <c r="I2" s="10"/>
      <c r="J2" s="10"/>
      <c r="K2" s="10"/>
      <c r="L2" s="10"/>
    </row>
    <row r="3" spans="1:12" x14ac:dyDescent="0.3">
      <c r="A3" s="5" t="s">
        <v>445</v>
      </c>
      <c r="B3" t="s">
        <v>447</v>
      </c>
    </row>
    <row r="4" spans="1:12" x14ac:dyDescent="0.3">
      <c r="A4" s="6" t="s">
        <v>80</v>
      </c>
      <c r="B4">
        <v>37</v>
      </c>
    </row>
    <row r="5" spans="1:12" x14ac:dyDescent="0.3">
      <c r="A5" s="7" t="s">
        <v>21</v>
      </c>
      <c r="B5">
        <v>37</v>
      </c>
    </row>
    <row r="6" spans="1:12" x14ac:dyDescent="0.3">
      <c r="A6" s="6" t="s">
        <v>61</v>
      </c>
      <c r="B6">
        <v>27</v>
      </c>
    </row>
    <row r="7" spans="1:12" x14ac:dyDescent="0.3">
      <c r="A7" s="7" t="s">
        <v>21</v>
      </c>
      <c r="B7">
        <v>27</v>
      </c>
    </row>
    <row r="8" spans="1:12" x14ac:dyDescent="0.3">
      <c r="A8" s="6" t="s">
        <v>23</v>
      </c>
      <c r="B8">
        <v>36</v>
      </c>
    </row>
    <row r="9" spans="1:12" x14ac:dyDescent="0.3">
      <c r="A9" s="7" t="s">
        <v>21</v>
      </c>
      <c r="B9">
        <v>36</v>
      </c>
    </row>
    <row r="10" spans="1:12" x14ac:dyDescent="0.3">
      <c r="A10" s="6" t="s">
        <v>38</v>
      </c>
      <c r="B10">
        <v>39</v>
      </c>
    </row>
    <row r="11" spans="1:12" x14ac:dyDescent="0.3">
      <c r="A11" s="7" t="s">
        <v>21</v>
      </c>
      <c r="B11">
        <v>39</v>
      </c>
    </row>
    <row r="12" spans="1:12" x14ac:dyDescent="0.3">
      <c r="A12" s="6" t="s">
        <v>446</v>
      </c>
      <c r="B12">
        <v>139</v>
      </c>
    </row>
  </sheetData>
  <mergeCells count="1">
    <mergeCell ref="A1:L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4E440-384E-40A9-94EF-4462B7559BAF}">
  <dimension ref="A1:M16"/>
  <sheetViews>
    <sheetView workbookViewId="0">
      <selection activeCell="J19" sqref="J19"/>
    </sheetView>
  </sheetViews>
  <sheetFormatPr defaultRowHeight="14.4" x14ac:dyDescent="0.3"/>
  <cols>
    <col min="1" max="1" width="13.77734375" bestFit="1" customWidth="1"/>
    <col min="2" max="2" width="11.5546875" bestFit="1" customWidth="1"/>
  </cols>
  <sheetData>
    <row r="1" spans="1:13" x14ac:dyDescent="0.3">
      <c r="A1" s="11" t="s">
        <v>449</v>
      </c>
      <c r="B1" s="12"/>
      <c r="C1" s="12"/>
      <c r="D1" s="12"/>
      <c r="E1" s="12"/>
      <c r="F1" s="12"/>
      <c r="G1" s="12"/>
      <c r="H1" s="12"/>
      <c r="I1" s="12"/>
      <c r="J1" s="12"/>
      <c r="K1" s="12"/>
      <c r="L1" s="12"/>
      <c r="M1" s="12"/>
    </row>
    <row r="2" spans="1:13" x14ac:dyDescent="0.3">
      <c r="A2" s="12"/>
      <c r="B2" s="12"/>
      <c r="C2" s="12"/>
      <c r="D2" s="12"/>
      <c r="E2" s="12"/>
      <c r="F2" s="12"/>
      <c r="G2" s="12"/>
      <c r="H2" s="12"/>
      <c r="I2" s="12"/>
      <c r="J2" s="12"/>
      <c r="K2" s="12"/>
      <c r="L2" s="12"/>
      <c r="M2" s="12"/>
    </row>
    <row r="3" spans="1:13" x14ac:dyDescent="0.3">
      <c r="A3" s="5" t="s">
        <v>445</v>
      </c>
      <c r="B3" t="s">
        <v>443</v>
      </c>
    </row>
    <row r="4" spans="1:13" x14ac:dyDescent="0.3">
      <c r="A4" s="6" t="s">
        <v>39</v>
      </c>
      <c r="B4">
        <v>1500</v>
      </c>
    </row>
    <row r="5" spans="1:13" x14ac:dyDescent="0.3">
      <c r="A5" s="6" t="s">
        <v>56</v>
      </c>
      <c r="B5">
        <v>585</v>
      </c>
    </row>
    <row r="6" spans="1:13" x14ac:dyDescent="0.3">
      <c r="A6" s="6" t="s">
        <v>81</v>
      </c>
      <c r="B6">
        <v>640</v>
      </c>
    </row>
    <row r="7" spans="1:13" x14ac:dyDescent="0.3">
      <c r="A7" s="6" t="s">
        <v>102</v>
      </c>
      <c r="B7">
        <v>1421</v>
      </c>
    </row>
    <row r="8" spans="1:13" x14ac:dyDescent="0.3">
      <c r="A8" s="6" t="s">
        <v>174</v>
      </c>
      <c r="B8">
        <v>660</v>
      </c>
    </row>
    <row r="9" spans="1:13" x14ac:dyDescent="0.3">
      <c r="A9" s="6" t="s">
        <v>126</v>
      </c>
      <c r="B9">
        <v>690</v>
      </c>
    </row>
    <row r="10" spans="1:13" x14ac:dyDescent="0.3">
      <c r="A10" s="6" t="s">
        <v>33</v>
      </c>
      <c r="B10">
        <v>8000</v>
      </c>
    </row>
    <row r="11" spans="1:13" x14ac:dyDescent="0.3">
      <c r="A11" s="6" t="s">
        <v>86</v>
      </c>
      <c r="B11">
        <v>1430</v>
      </c>
    </row>
    <row r="12" spans="1:13" x14ac:dyDescent="0.3">
      <c r="A12" s="6" t="s">
        <v>91</v>
      </c>
      <c r="B12">
        <v>660</v>
      </c>
    </row>
    <row r="13" spans="1:13" x14ac:dyDescent="0.3">
      <c r="A13" s="6" t="s">
        <v>47</v>
      </c>
      <c r="B13">
        <v>3500</v>
      </c>
    </row>
    <row r="14" spans="1:13" x14ac:dyDescent="0.3">
      <c r="A14" s="6" t="s">
        <v>62</v>
      </c>
      <c r="B14">
        <v>1056</v>
      </c>
    </row>
    <row r="15" spans="1:13" x14ac:dyDescent="0.3">
      <c r="A15" s="6" t="s">
        <v>24</v>
      </c>
      <c r="B15">
        <v>1029</v>
      </c>
    </row>
    <row r="16" spans="1:13" x14ac:dyDescent="0.3">
      <c r="A16" s="6" t="s">
        <v>446</v>
      </c>
      <c r="B16">
        <v>21171</v>
      </c>
    </row>
  </sheetData>
  <mergeCells count="2">
    <mergeCell ref="A1:K2"/>
    <mergeCell ref="L1:M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03DD2-7FE0-4199-A85E-DACCF0153E05}">
  <dimension ref="A1:L15"/>
  <sheetViews>
    <sheetView workbookViewId="0">
      <selection activeCell="L12" sqref="L12"/>
    </sheetView>
  </sheetViews>
  <sheetFormatPr defaultRowHeight="14.4" x14ac:dyDescent="0.3"/>
  <cols>
    <col min="1" max="1" width="18.6640625" bestFit="1" customWidth="1"/>
    <col min="2" max="2" width="14.109375" bestFit="1" customWidth="1"/>
    <col min="3" max="3" width="11.5546875" bestFit="1" customWidth="1"/>
  </cols>
  <sheetData>
    <row r="1" spans="1:12" x14ac:dyDescent="0.3">
      <c r="A1" s="9" t="s">
        <v>448</v>
      </c>
      <c r="B1" s="10"/>
      <c r="C1" s="10"/>
      <c r="D1" s="10"/>
      <c r="E1" s="10"/>
      <c r="F1" s="10"/>
      <c r="G1" s="10"/>
      <c r="H1" s="10"/>
      <c r="I1" s="10"/>
      <c r="J1" s="10"/>
      <c r="K1" s="10"/>
      <c r="L1" s="10"/>
    </row>
    <row r="2" spans="1:12" x14ac:dyDescent="0.3">
      <c r="A2" s="10"/>
      <c r="B2" s="10"/>
      <c r="C2" s="10"/>
      <c r="D2" s="10"/>
      <c r="E2" s="10"/>
      <c r="F2" s="10"/>
      <c r="G2" s="10"/>
      <c r="H2" s="10"/>
      <c r="I2" s="10"/>
      <c r="J2" s="10"/>
      <c r="K2" s="10"/>
      <c r="L2" s="10"/>
    </row>
    <row r="3" spans="1:12" x14ac:dyDescent="0.3">
      <c r="A3" s="5" t="s">
        <v>445</v>
      </c>
      <c r="B3" t="s">
        <v>444</v>
      </c>
      <c r="C3" t="s">
        <v>443</v>
      </c>
    </row>
    <row r="4" spans="1:12" x14ac:dyDescent="0.3">
      <c r="A4" s="6" t="s">
        <v>18</v>
      </c>
      <c r="B4">
        <v>288</v>
      </c>
      <c r="C4">
        <v>158</v>
      </c>
    </row>
    <row r="5" spans="1:12" x14ac:dyDescent="0.3">
      <c r="A5" s="7" t="s">
        <v>108</v>
      </c>
      <c r="B5">
        <v>288</v>
      </c>
      <c r="C5">
        <v>158</v>
      </c>
    </row>
    <row r="6" spans="1:12" x14ac:dyDescent="0.3">
      <c r="A6" s="6" t="s">
        <v>70</v>
      </c>
      <c r="B6">
        <v>445</v>
      </c>
      <c r="C6">
        <v>250</v>
      </c>
    </row>
    <row r="7" spans="1:12" x14ac:dyDescent="0.3">
      <c r="A7" s="7" t="s">
        <v>69</v>
      </c>
      <c r="B7">
        <v>110</v>
      </c>
      <c r="C7">
        <v>60</v>
      </c>
    </row>
    <row r="8" spans="1:12" x14ac:dyDescent="0.3">
      <c r="A8" s="7" t="s">
        <v>77</v>
      </c>
      <c r="B8">
        <v>335</v>
      </c>
      <c r="C8">
        <v>190</v>
      </c>
    </row>
    <row r="9" spans="1:12" x14ac:dyDescent="0.3">
      <c r="A9" s="6" t="s">
        <v>28</v>
      </c>
      <c r="B9">
        <v>2204</v>
      </c>
      <c r="C9">
        <v>974</v>
      </c>
    </row>
    <row r="10" spans="1:12" x14ac:dyDescent="0.3">
      <c r="A10" s="7" t="s">
        <v>27</v>
      </c>
      <c r="B10">
        <v>1974</v>
      </c>
      <c r="C10">
        <v>834</v>
      </c>
    </row>
    <row r="11" spans="1:12" x14ac:dyDescent="0.3">
      <c r="A11" s="7" t="s">
        <v>53</v>
      </c>
      <c r="B11">
        <v>230</v>
      </c>
      <c r="C11">
        <v>140</v>
      </c>
    </row>
    <row r="12" spans="1:12" x14ac:dyDescent="0.3">
      <c r="A12" s="6" t="s">
        <v>43</v>
      </c>
      <c r="B12">
        <v>528</v>
      </c>
      <c r="C12">
        <v>288</v>
      </c>
    </row>
    <row r="13" spans="1:12" x14ac:dyDescent="0.3">
      <c r="A13" s="7" t="s">
        <v>65</v>
      </c>
      <c r="B13">
        <v>308</v>
      </c>
      <c r="C13">
        <v>158</v>
      </c>
    </row>
    <row r="14" spans="1:12" x14ac:dyDescent="0.3">
      <c r="A14" s="7" t="s">
        <v>42</v>
      </c>
      <c r="B14">
        <v>220</v>
      </c>
      <c r="C14">
        <v>130</v>
      </c>
    </row>
    <row r="15" spans="1:12" x14ac:dyDescent="0.3">
      <c r="A15" s="6" t="s">
        <v>446</v>
      </c>
      <c r="B15">
        <v>3465</v>
      </c>
      <c r="C15">
        <v>1670</v>
      </c>
    </row>
  </sheetData>
  <mergeCells count="1">
    <mergeCell ref="A1:L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AFCF5-CF7A-487B-82FD-234451C1824B}">
  <dimension ref="A1:P150"/>
  <sheetViews>
    <sheetView topLeftCell="A2" workbookViewId="0">
      <selection sqref="A1:P150"/>
    </sheetView>
  </sheetViews>
  <sheetFormatPr defaultRowHeight="14.4" x14ac:dyDescent="0.3"/>
  <cols>
    <col min="1" max="1" width="18.109375" bestFit="1" customWidth="1"/>
    <col min="2" max="2" width="10.33203125" bestFit="1" customWidth="1"/>
    <col min="3" max="3" width="18.21875" bestFit="1" customWidth="1"/>
    <col min="4" max="4" width="11.21875" bestFit="1" customWidth="1"/>
    <col min="5" max="5" width="16.33203125" bestFit="1" customWidth="1"/>
    <col min="6" max="6" width="11.5546875" bestFit="1" customWidth="1"/>
    <col min="7" max="7" width="12.88671875" bestFit="1" customWidth="1"/>
    <col min="8" max="8" width="14.88671875" bestFit="1" customWidth="1"/>
    <col min="9" max="9" width="20.77734375" bestFit="1" customWidth="1"/>
    <col min="10" max="10" width="18.21875" bestFit="1" customWidth="1"/>
    <col min="11" max="11" width="17.5546875" bestFit="1" customWidth="1"/>
    <col min="12" max="12" width="13.6640625" bestFit="1" customWidth="1"/>
    <col min="13" max="13" width="14.109375" bestFit="1" customWidth="1"/>
    <col min="14" max="14" width="12.77734375" bestFit="1" customWidth="1"/>
    <col min="15" max="15" width="14.33203125" bestFit="1" customWidth="1"/>
    <col min="16" max="16" width="10.109375" bestFit="1" customWidth="1"/>
    <col min="17" max="17" width="12" bestFit="1" customWidth="1"/>
  </cols>
  <sheetData>
    <row r="1" spans="1:16" x14ac:dyDescent="0.3">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s="3" t="s">
        <v>16</v>
      </c>
      <c r="B2" s="4">
        <v>45760</v>
      </c>
      <c r="C2" s="3" t="s">
        <v>17</v>
      </c>
      <c r="D2" s="3" t="s">
        <v>18</v>
      </c>
      <c r="E2" s="3" t="s">
        <v>19</v>
      </c>
      <c r="F2" s="3" t="s">
        <v>20</v>
      </c>
      <c r="G2" s="3" t="s">
        <v>21</v>
      </c>
      <c r="H2" s="3" t="s">
        <v>22</v>
      </c>
      <c r="I2" s="3" t="s">
        <v>23</v>
      </c>
      <c r="J2" s="3" t="s">
        <v>24</v>
      </c>
      <c r="K2" s="3">
        <v>1</v>
      </c>
      <c r="L2" s="3">
        <v>50</v>
      </c>
      <c r="M2" s="3">
        <v>99</v>
      </c>
      <c r="N2" s="3">
        <v>99</v>
      </c>
      <c r="O2" s="3">
        <v>50</v>
      </c>
      <c r="P2" s="3">
        <v>49</v>
      </c>
    </row>
    <row r="3" spans="1:16" x14ac:dyDescent="0.3">
      <c r="A3" s="3" t="s">
        <v>25</v>
      </c>
      <c r="B3" s="4" t="s">
        <v>26</v>
      </c>
      <c r="C3" s="3" t="s">
        <v>27</v>
      </c>
      <c r="D3" s="3" t="s">
        <v>28</v>
      </c>
      <c r="E3" s="3" t="s">
        <v>29</v>
      </c>
      <c r="F3" s="3" t="s">
        <v>30</v>
      </c>
      <c r="G3" s="3" t="s">
        <v>31</v>
      </c>
      <c r="H3" s="3" t="s">
        <v>32</v>
      </c>
      <c r="I3" s="3" t="s">
        <v>23</v>
      </c>
      <c r="J3" s="3" t="s">
        <v>33</v>
      </c>
      <c r="K3" s="3">
        <v>2</v>
      </c>
      <c r="L3" s="3">
        <v>800</v>
      </c>
      <c r="M3" s="3">
        <v>1200</v>
      </c>
      <c r="N3" s="3">
        <v>2400</v>
      </c>
      <c r="O3" s="3">
        <v>1600</v>
      </c>
      <c r="P3" s="3">
        <v>800</v>
      </c>
    </row>
    <row r="4" spans="1:16" x14ac:dyDescent="0.3">
      <c r="A4" s="3" t="s">
        <v>34</v>
      </c>
      <c r="B4" s="4" t="s">
        <v>35</v>
      </c>
      <c r="C4" s="3" t="s">
        <v>17</v>
      </c>
      <c r="D4" s="3" t="s">
        <v>18</v>
      </c>
      <c r="E4" s="3" t="s">
        <v>36</v>
      </c>
      <c r="F4" s="3" t="s">
        <v>20</v>
      </c>
      <c r="G4" s="3" t="s">
        <v>21</v>
      </c>
      <c r="H4" s="3" t="s">
        <v>37</v>
      </c>
      <c r="I4" s="3" t="s">
        <v>38</v>
      </c>
      <c r="J4" s="3" t="s">
        <v>39</v>
      </c>
      <c r="K4" s="3">
        <v>3</v>
      </c>
      <c r="L4" s="3">
        <v>60</v>
      </c>
      <c r="M4" s="3">
        <v>120</v>
      </c>
      <c r="N4" s="3">
        <v>360</v>
      </c>
      <c r="O4" s="3">
        <v>180</v>
      </c>
      <c r="P4" s="3">
        <v>180</v>
      </c>
    </row>
    <row r="5" spans="1:16" x14ac:dyDescent="0.3">
      <c r="A5" s="3" t="s">
        <v>40</v>
      </c>
      <c r="B5" s="4" t="s">
        <v>41</v>
      </c>
      <c r="C5" s="3" t="s">
        <v>42</v>
      </c>
      <c r="D5" s="3" t="s">
        <v>43</v>
      </c>
      <c r="E5" s="3" t="s">
        <v>44</v>
      </c>
      <c r="F5" s="3" t="s">
        <v>20</v>
      </c>
      <c r="G5" s="3" t="s">
        <v>45</v>
      </c>
      <c r="H5" s="3" t="s">
        <v>46</v>
      </c>
      <c r="I5" s="3" t="s">
        <v>23</v>
      </c>
      <c r="J5" s="3" t="s">
        <v>47</v>
      </c>
      <c r="K5" s="3">
        <v>1</v>
      </c>
      <c r="L5" s="3">
        <v>150</v>
      </c>
      <c r="M5" s="3">
        <v>250</v>
      </c>
      <c r="N5" s="3">
        <v>250</v>
      </c>
      <c r="O5" s="3">
        <v>150</v>
      </c>
      <c r="P5" s="3">
        <v>100</v>
      </c>
    </row>
    <row r="6" spans="1:16" x14ac:dyDescent="0.3">
      <c r="A6" s="3" t="s">
        <v>48</v>
      </c>
      <c r="B6" s="4" t="s">
        <v>49</v>
      </c>
      <c r="C6" s="3" t="s">
        <v>17</v>
      </c>
      <c r="D6" s="3" t="s">
        <v>18</v>
      </c>
      <c r="E6" s="3" t="s">
        <v>50</v>
      </c>
      <c r="F6" s="3" t="s">
        <v>30</v>
      </c>
      <c r="G6" s="3" t="s">
        <v>31</v>
      </c>
      <c r="H6" s="3" t="s">
        <v>22</v>
      </c>
      <c r="I6" s="3" t="s">
        <v>23</v>
      </c>
      <c r="J6" s="3" t="s">
        <v>24</v>
      </c>
      <c r="K6" s="3">
        <v>2</v>
      </c>
      <c r="L6" s="3">
        <v>50</v>
      </c>
      <c r="M6" s="3">
        <v>99</v>
      </c>
      <c r="N6" s="3">
        <v>198</v>
      </c>
      <c r="O6" s="3">
        <v>100</v>
      </c>
      <c r="P6" s="3">
        <v>98</v>
      </c>
    </row>
    <row r="7" spans="1:16" x14ac:dyDescent="0.3">
      <c r="A7" s="3" t="s">
        <v>51</v>
      </c>
      <c r="B7" s="4" t="s">
        <v>52</v>
      </c>
      <c r="C7" s="3" t="s">
        <v>53</v>
      </c>
      <c r="D7" s="3" t="s">
        <v>28</v>
      </c>
      <c r="E7" s="3" t="s">
        <v>54</v>
      </c>
      <c r="F7" s="3" t="s">
        <v>30</v>
      </c>
      <c r="G7" s="3" t="s">
        <v>31</v>
      </c>
      <c r="H7" s="3" t="s">
        <v>55</v>
      </c>
      <c r="I7" s="3" t="s">
        <v>38</v>
      </c>
      <c r="J7" s="3" t="s">
        <v>56</v>
      </c>
      <c r="K7" s="3">
        <v>2</v>
      </c>
      <c r="L7" s="3">
        <v>30</v>
      </c>
      <c r="M7" s="3">
        <v>75</v>
      </c>
      <c r="N7" s="3">
        <v>150</v>
      </c>
      <c r="O7" s="3">
        <v>60</v>
      </c>
      <c r="P7" s="3">
        <v>90</v>
      </c>
    </row>
    <row r="8" spans="1:16" x14ac:dyDescent="0.3">
      <c r="A8" s="3" t="s">
        <v>57</v>
      </c>
      <c r="B8" s="4" t="s">
        <v>58</v>
      </c>
      <c r="C8" s="3" t="s">
        <v>53</v>
      </c>
      <c r="D8" s="3" t="s">
        <v>28</v>
      </c>
      <c r="E8" s="3" t="s">
        <v>59</v>
      </c>
      <c r="F8" s="3" t="s">
        <v>30</v>
      </c>
      <c r="G8" s="3" t="s">
        <v>31</v>
      </c>
      <c r="H8" s="3" t="s">
        <v>60</v>
      </c>
      <c r="I8" s="3" t="s">
        <v>61</v>
      </c>
      <c r="J8" s="3" t="s">
        <v>62</v>
      </c>
      <c r="K8" s="3">
        <v>2</v>
      </c>
      <c r="L8" s="3">
        <v>25</v>
      </c>
      <c r="M8" s="3">
        <v>69</v>
      </c>
      <c r="N8" s="3">
        <v>138</v>
      </c>
      <c r="O8" s="3">
        <v>50</v>
      </c>
      <c r="P8" s="3">
        <v>88</v>
      </c>
    </row>
    <row r="9" spans="1:16" x14ac:dyDescent="0.3">
      <c r="A9" s="3" t="s">
        <v>63</v>
      </c>
      <c r="B9" s="4" t="s">
        <v>64</v>
      </c>
      <c r="C9" s="3" t="s">
        <v>65</v>
      </c>
      <c r="D9" s="3" t="s">
        <v>43</v>
      </c>
      <c r="E9" s="3" t="s">
        <v>66</v>
      </c>
      <c r="F9" s="3" t="s">
        <v>20</v>
      </c>
      <c r="G9" s="3" t="s">
        <v>21</v>
      </c>
      <c r="H9" s="3" t="s">
        <v>37</v>
      </c>
      <c r="I9" s="3" t="s">
        <v>38</v>
      </c>
      <c r="J9" s="3" t="s">
        <v>39</v>
      </c>
      <c r="K9" s="3">
        <v>1</v>
      </c>
      <c r="L9" s="3">
        <v>60</v>
      </c>
      <c r="M9" s="3">
        <v>120</v>
      </c>
      <c r="N9" s="3">
        <v>120</v>
      </c>
      <c r="O9" s="3">
        <v>60</v>
      </c>
      <c r="P9" s="3">
        <v>60</v>
      </c>
    </row>
    <row r="10" spans="1:16" x14ac:dyDescent="0.3">
      <c r="A10" s="3" t="s">
        <v>67</v>
      </c>
      <c r="B10" s="4" t="s">
        <v>68</v>
      </c>
      <c r="C10" s="3" t="s">
        <v>69</v>
      </c>
      <c r="D10" s="3" t="s">
        <v>70</v>
      </c>
      <c r="E10" s="3" t="s">
        <v>71</v>
      </c>
      <c r="F10" s="3" t="s">
        <v>30</v>
      </c>
      <c r="G10" s="3" t="s">
        <v>21</v>
      </c>
      <c r="H10" s="3" t="s">
        <v>60</v>
      </c>
      <c r="I10" s="3" t="s">
        <v>61</v>
      </c>
      <c r="J10" s="3" t="s">
        <v>62</v>
      </c>
      <c r="K10" s="3">
        <v>1</v>
      </c>
      <c r="L10" s="3">
        <v>25</v>
      </c>
      <c r="M10" s="3">
        <v>69</v>
      </c>
      <c r="N10" s="3">
        <v>69</v>
      </c>
      <c r="O10" s="3">
        <v>25</v>
      </c>
      <c r="P10" s="3">
        <v>44</v>
      </c>
    </row>
    <row r="11" spans="1:16" x14ac:dyDescent="0.3">
      <c r="A11" s="3" t="s">
        <v>72</v>
      </c>
      <c r="B11" s="4" t="s">
        <v>73</v>
      </c>
      <c r="C11" s="3" t="s">
        <v>53</v>
      </c>
      <c r="D11" s="3" t="s">
        <v>28</v>
      </c>
      <c r="E11" s="3" t="s">
        <v>74</v>
      </c>
      <c r="F11" s="3" t="s">
        <v>30</v>
      </c>
      <c r="G11" s="3" t="s">
        <v>21</v>
      </c>
      <c r="H11" s="3" t="s">
        <v>60</v>
      </c>
      <c r="I11" s="3" t="s">
        <v>61</v>
      </c>
      <c r="J11" s="3" t="s">
        <v>62</v>
      </c>
      <c r="K11" s="3">
        <v>3</v>
      </c>
      <c r="L11" s="3">
        <v>25</v>
      </c>
      <c r="M11" s="3">
        <v>69</v>
      </c>
      <c r="N11" s="3">
        <v>207</v>
      </c>
      <c r="O11" s="3">
        <v>75</v>
      </c>
      <c r="P11" s="3">
        <v>132</v>
      </c>
    </row>
    <row r="12" spans="1:16" x14ac:dyDescent="0.3">
      <c r="A12" s="3" t="s">
        <v>75</v>
      </c>
      <c r="B12" s="4" t="s">
        <v>76</v>
      </c>
      <c r="C12" s="3" t="s">
        <v>77</v>
      </c>
      <c r="D12" s="3" t="s">
        <v>70</v>
      </c>
      <c r="E12" s="3" t="s">
        <v>78</v>
      </c>
      <c r="F12" s="3" t="s">
        <v>20</v>
      </c>
      <c r="G12" s="3" t="s">
        <v>31</v>
      </c>
      <c r="H12" s="3" t="s">
        <v>79</v>
      </c>
      <c r="I12" s="3" t="s">
        <v>80</v>
      </c>
      <c r="J12" s="3" t="s">
        <v>81</v>
      </c>
      <c r="K12" s="3">
        <v>1</v>
      </c>
      <c r="L12" s="3">
        <v>20</v>
      </c>
      <c r="M12" s="3">
        <v>60</v>
      </c>
      <c r="N12" s="3">
        <v>60</v>
      </c>
      <c r="O12" s="3">
        <v>20</v>
      </c>
      <c r="P12" s="3">
        <v>40</v>
      </c>
    </row>
    <row r="13" spans="1:16" x14ac:dyDescent="0.3">
      <c r="A13" s="3" t="s">
        <v>82</v>
      </c>
      <c r="B13" s="4" t="s">
        <v>83</v>
      </c>
      <c r="C13" s="3" t="s">
        <v>69</v>
      </c>
      <c r="D13" s="3" t="s">
        <v>70</v>
      </c>
      <c r="E13" s="3" t="s">
        <v>84</v>
      </c>
      <c r="F13" s="3" t="s">
        <v>30</v>
      </c>
      <c r="G13" s="3" t="s">
        <v>45</v>
      </c>
      <c r="H13" s="3" t="s">
        <v>85</v>
      </c>
      <c r="I13" s="3" t="s">
        <v>80</v>
      </c>
      <c r="J13" s="3" t="s">
        <v>86</v>
      </c>
      <c r="K13" s="3">
        <v>1</v>
      </c>
      <c r="L13" s="3">
        <v>45</v>
      </c>
      <c r="M13" s="3">
        <v>110</v>
      </c>
      <c r="N13" s="3">
        <v>110</v>
      </c>
      <c r="O13" s="3">
        <v>45</v>
      </c>
      <c r="P13" s="3">
        <v>65</v>
      </c>
    </row>
    <row r="14" spans="1:16" x14ac:dyDescent="0.3">
      <c r="A14" s="3" t="s">
        <v>87</v>
      </c>
      <c r="B14" s="4" t="s">
        <v>88</v>
      </c>
      <c r="C14" s="3" t="s">
        <v>27</v>
      </c>
      <c r="D14" s="3" t="s">
        <v>28</v>
      </c>
      <c r="E14" s="3" t="s">
        <v>89</v>
      </c>
      <c r="F14" s="3" t="s">
        <v>30</v>
      </c>
      <c r="G14" s="3" t="s">
        <v>31</v>
      </c>
      <c r="H14" s="3" t="s">
        <v>90</v>
      </c>
      <c r="I14" s="3" t="s">
        <v>61</v>
      </c>
      <c r="J14" s="3" t="s">
        <v>91</v>
      </c>
      <c r="K14" s="3">
        <v>1</v>
      </c>
      <c r="L14" s="3">
        <v>15</v>
      </c>
      <c r="M14" s="3">
        <v>45</v>
      </c>
      <c r="N14" s="3">
        <v>45</v>
      </c>
      <c r="O14" s="3">
        <v>15</v>
      </c>
      <c r="P14" s="3">
        <v>30</v>
      </c>
    </row>
    <row r="15" spans="1:16" x14ac:dyDescent="0.3">
      <c r="A15" s="3" t="s">
        <v>92</v>
      </c>
      <c r="B15" s="4" t="s">
        <v>93</v>
      </c>
      <c r="C15" s="3" t="s">
        <v>65</v>
      </c>
      <c r="D15" s="3" t="s">
        <v>43</v>
      </c>
      <c r="E15" s="3" t="s">
        <v>94</v>
      </c>
      <c r="F15" s="3" t="s">
        <v>20</v>
      </c>
      <c r="G15" s="3" t="s">
        <v>21</v>
      </c>
      <c r="H15" s="3" t="s">
        <v>90</v>
      </c>
      <c r="I15" s="3" t="s">
        <v>61</v>
      </c>
      <c r="J15" s="3" t="s">
        <v>91</v>
      </c>
      <c r="K15" s="3">
        <v>2</v>
      </c>
      <c r="L15" s="3">
        <v>15</v>
      </c>
      <c r="M15" s="3">
        <v>45</v>
      </c>
      <c r="N15" s="3">
        <v>90</v>
      </c>
      <c r="O15" s="3">
        <v>30</v>
      </c>
      <c r="P15" s="3">
        <v>60</v>
      </c>
    </row>
    <row r="16" spans="1:16" x14ac:dyDescent="0.3">
      <c r="A16" s="3" t="s">
        <v>95</v>
      </c>
      <c r="B16" s="4" t="s">
        <v>96</v>
      </c>
      <c r="C16" s="3" t="s">
        <v>17</v>
      </c>
      <c r="D16" s="3" t="s">
        <v>18</v>
      </c>
      <c r="E16" s="3" t="s">
        <v>97</v>
      </c>
      <c r="F16" s="3" t="s">
        <v>20</v>
      </c>
      <c r="G16" s="3" t="s">
        <v>21</v>
      </c>
      <c r="H16" s="3" t="s">
        <v>37</v>
      </c>
      <c r="I16" s="3" t="s">
        <v>38</v>
      </c>
      <c r="J16" s="3" t="s">
        <v>39</v>
      </c>
      <c r="K16" s="3">
        <v>3</v>
      </c>
      <c r="L16" s="3">
        <v>60</v>
      </c>
      <c r="M16" s="3">
        <v>120</v>
      </c>
      <c r="N16" s="3">
        <v>360</v>
      </c>
      <c r="O16" s="3">
        <v>180</v>
      </c>
      <c r="P16" s="3">
        <v>180</v>
      </c>
    </row>
    <row r="17" spans="1:16" x14ac:dyDescent="0.3">
      <c r="A17" s="3" t="s">
        <v>98</v>
      </c>
      <c r="B17" s="4" t="s">
        <v>99</v>
      </c>
      <c r="C17" s="3" t="s">
        <v>53</v>
      </c>
      <c r="D17" s="3" t="s">
        <v>28</v>
      </c>
      <c r="E17" s="3" t="s">
        <v>100</v>
      </c>
      <c r="F17" s="3" t="s">
        <v>30</v>
      </c>
      <c r="G17" s="3" t="s">
        <v>21</v>
      </c>
      <c r="H17" s="3" t="s">
        <v>101</v>
      </c>
      <c r="I17" s="3" t="s">
        <v>38</v>
      </c>
      <c r="J17" s="3" t="s">
        <v>102</v>
      </c>
      <c r="K17" s="3">
        <v>4</v>
      </c>
      <c r="L17" s="3">
        <v>40</v>
      </c>
      <c r="M17" s="3">
        <v>89</v>
      </c>
      <c r="N17" s="3">
        <v>356</v>
      </c>
      <c r="O17" s="3">
        <v>160</v>
      </c>
      <c r="P17" s="3">
        <v>196</v>
      </c>
    </row>
    <row r="18" spans="1:16" x14ac:dyDescent="0.3">
      <c r="A18" s="3" t="s">
        <v>103</v>
      </c>
      <c r="B18" s="4" t="s">
        <v>104</v>
      </c>
      <c r="C18" s="3" t="s">
        <v>42</v>
      </c>
      <c r="D18" s="3" t="s">
        <v>43</v>
      </c>
      <c r="E18" s="3" t="s">
        <v>105</v>
      </c>
      <c r="F18" s="3" t="s">
        <v>30</v>
      </c>
      <c r="G18" s="3" t="s">
        <v>45</v>
      </c>
      <c r="H18" s="3" t="s">
        <v>22</v>
      </c>
      <c r="I18" s="3" t="s">
        <v>23</v>
      </c>
      <c r="J18" s="3" t="s">
        <v>24</v>
      </c>
      <c r="K18" s="3">
        <v>2</v>
      </c>
      <c r="L18" s="3">
        <v>50</v>
      </c>
      <c r="M18" s="3">
        <v>99</v>
      </c>
      <c r="N18" s="3">
        <v>198</v>
      </c>
      <c r="O18" s="3">
        <v>100</v>
      </c>
      <c r="P18" s="3">
        <v>98</v>
      </c>
    </row>
    <row r="19" spans="1:16" x14ac:dyDescent="0.3">
      <c r="A19" s="3" t="s">
        <v>106</v>
      </c>
      <c r="B19" s="4" t="s">
        <v>107</v>
      </c>
      <c r="C19" s="3" t="s">
        <v>108</v>
      </c>
      <c r="D19" s="3" t="s">
        <v>18</v>
      </c>
      <c r="E19" s="3" t="s">
        <v>109</v>
      </c>
      <c r="F19" s="3" t="s">
        <v>20</v>
      </c>
      <c r="G19" s="3" t="s">
        <v>21</v>
      </c>
      <c r="H19" s="3" t="s">
        <v>90</v>
      </c>
      <c r="I19" s="3" t="s">
        <v>61</v>
      </c>
      <c r="J19" s="3" t="s">
        <v>91</v>
      </c>
      <c r="K19" s="3">
        <v>2</v>
      </c>
      <c r="L19" s="3">
        <v>15</v>
      </c>
      <c r="M19" s="3">
        <v>45</v>
      </c>
      <c r="N19" s="3">
        <v>90</v>
      </c>
      <c r="O19" s="3">
        <v>30</v>
      </c>
      <c r="P19" s="3">
        <v>60</v>
      </c>
    </row>
    <row r="20" spans="1:16" x14ac:dyDescent="0.3">
      <c r="A20" s="3" t="s">
        <v>110</v>
      </c>
      <c r="B20" s="4" t="s">
        <v>111</v>
      </c>
      <c r="C20" s="3" t="s">
        <v>27</v>
      </c>
      <c r="D20" s="3" t="s">
        <v>28</v>
      </c>
      <c r="E20" s="3" t="s">
        <v>112</v>
      </c>
      <c r="F20" s="3" t="s">
        <v>30</v>
      </c>
      <c r="G20" s="3" t="s">
        <v>21</v>
      </c>
      <c r="H20" s="3" t="s">
        <v>37</v>
      </c>
      <c r="I20" s="3" t="s">
        <v>38</v>
      </c>
      <c r="J20" s="3" t="s">
        <v>39</v>
      </c>
      <c r="K20" s="3">
        <v>1</v>
      </c>
      <c r="L20" s="3">
        <v>60</v>
      </c>
      <c r="M20" s="3">
        <v>120</v>
      </c>
      <c r="N20" s="3">
        <v>120</v>
      </c>
      <c r="O20" s="3">
        <v>60</v>
      </c>
      <c r="P20" s="3">
        <v>60</v>
      </c>
    </row>
    <row r="21" spans="1:16" x14ac:dyDescent="0.3">
      <c r="A21" s="3" t="s">
        <v>113</v>
      </c>
      <c r="B21" s="4" t="s">
        <v>114</v>
      </c>
      <c r="C21" s="3" t="s">
        <v>77</v>
      </c>
      <c r="D21" s="3" t="s">
        <v>70</v>
      </c>
      <c r="E21" s="3" t="s">
        <v>115</v>
      </c>
      <c r="F21" s="3" t="s">
        <v>30</v>
      </c>
      <c r="G21" s="3" t="s">
        <v>21</v>
      </c>
      <c r="H21" s="3" t="s">
        <v>46</v>
      </c>
      <c r="I21" s="3" t="s">
        <v>23</v>
      </c>
      <c r="J21" s="3" t="s">
        <v>47</v>
      </c>
      <c r="K21" s="3">
        <v>3</v>
      </c>
      <c r="L21" s="3">
        <v>150</v>
      </c>
      <c r="M21" s="3">
        <v>250</v>
      </c>
      <c r="N21" s="3">
        <v>750</v>
      </c>
      <c r="O21" s="3">
        <v>450</v>
      </c>
      <c r="P21" s="3">
        <v>300</v>
      </c>
    </row>
    <row r="22" spans="1:16" x14ac:dyDescent="0.3">
      <c r="A22" s="3" t="s">
        <v>116</v>
      </c>
      <c r="B22" s="4" t="s">
        <v>117</v>
      </c>
      <c r="C22" s="3" t="s">
        <v>27</v>
      </c>
      <c r="D22" s="3" t="s">
        <v>28</v>
      </c>
      <c r="E22" s="3" t="s">
        <v>118</v>
      </c>
      <c r="F22" s="3" t="s">
        <v>30</v>
      </c>
      <c r="G22" s="3" t="s">
        <v>21</v>
      </c>
      <c r="H22" s="3" t="s">
        <v>55</v>
      </c>
      <c r="I22" s="3" t="s">
        <v>38</v>
      </c>
      <c r="J22" s="3" t="s">
        <v>56</v>
      </c>
      <c r="K22" s="3">
        <v>1</v>
      </c>
      <c r="L22" s="3">
        <v>30</v>
      </c>
      <c r="M22" s="3">
        <v>75</v>
      </c>
      <c r="N22" s="3">
        <v>75</v>
      </c>
      <c r="O22" s="3">
        <v>30</v>
      </c>
      <c r="P22" s="3">
        <v>45</v>
      </c>
    </row>
    <row r="23" spans="1:16" x14ac:dyDescent="0.3">
      <c r="A23" s="3" t="s">
        <v>119</v>
      </c>
      <c r="B23" s="4" t="s">
        <v>120</v>
      </c>
      <c r="C23" s="3" t="s">
        <v>69</v>
      </c>
      <c r="D23" s="3" t="s">
        <v>70</v>
      </c>
      <c r="E23" s="3" t="s">
        <v>121</v>
      </c>
      <c r="F23" s="3" t="s">
        <v>20</v>
      </c>
      <c r="G23" s="3" t="s">
        <v>21</v>
      </c>
      <c r="H23" s="3" t="s">
        <v>79</v>
      </c>
      <c r="I23" s="3" t="s">
        <v>80</v>
      </c>
      <c r="J23" s="3" t="s">
        <v>81</v>
      </c>
      <c r="K23" s="3">
        <v>1</v>
      </c>
      <c r="L23" s="3">
        <v>20</v>
      </c>
      <c r="M23" s="3">
        <v>60</v>
      </c>
      <c r="N23" s="3">
        <v>60</v>
      </c>
      <c r="O23" s="3">
        <v>20</v>
      </c>
      <c r="P23" s="3">
        <v>40</v>
      </c>
    </row>
    <row r="24" spans="1:16" x14ac:dyDescent="0.3">
      <c r="A24" s="3" t="s">
        <v>122</v>
      </c>
      <c r="B24" s="4" t="s">
        <v>123</v>
      </c>
      <c r="C24" s="3" t="s">
        <v>65</v>
      </c>
      <c r="D24" s="3" t="s">
        <v>43</v>
      </c>
      <c r="E24" s="3" t="s">
        <v>124</v>
      </c>
      <c r="F24" s="3" t="s">
        <v>30</v>
      </c>
      <c r="G24" s="3" t="s">
        <v>31</v>
      </c>
      <c r="H24" s="3" t="s">
        <v>125</v>
      </c>
      <c r="I24" s="3" t="s">
        <v>80</v>
      </c>
      <c r="J24" s="3" t="s">
        <v>126</v>
      </c>
      <c r="K24" s="3">
        <v>2</v>
      </c>
      <c r="L24" s="3">
        <v>25</v>
      </c>
      <c r="M24" s="3">
        <v>55</v>
      </c>
      <c r="N24" s="3">
        <v>110</v>
      </c>
      <c r="O24" s="3">
        <v>50</v>
      </c>
      <c r="P24" s="3">
        <v>60</v>
      </c>
    </row>
    <row r="25" spans="1:16" x14ac:dyDescent="0.3">
      <c r="A25" s="3" t="s">
        <v>127</v>
      </c>
      <c r="B25" s="4" t="s">
        <v>128</v>
      </c>
      <c r="C25" s="3" t="s">
        <v>77</v>
      </c>
      <c r="D25" s="3" t="s">
        <v>70</v>
      </c>
      <c r="E25" s="3" t="s">
        <v>129</v>
      </c>
      <c r="F25" s="3" t="s">
        <v>130</v>
      </c>
      <c r="G25" s="3" t="s">
        <v>45</v>
      </c>
      <c r="H25" s="3" t="s">
        <v>79</v>
      </c>
      <c r="I25" s="3" t="s">
        <v>80</v>
      </c>
      <c r="J25" s="3" t="s">
        <v>81</v>
      </c>
      <c r="K25" s="3">
        <v>1</v>
      </c>
      <c r="L25" s="3">
        <v>20</v>
      </c>
      <c r="M25" s="3">
        <v>60</v>
      </c>
      <c r="N25" s="3">
        <v>60</v>
      </c>
      <c r="O25" s="3">
        <v>20</v>
      </c>
      <c r="P25" s="3">
        <v>40</v>
      </c>
    </row>
    <row r="26" spans="1:16" x14ac:dyDescent="0.3">
      <c r="A26" s="3" t="s">
        <v>131</v>
      </c>
      <c r="B26" s="4" t="s">
        <v>132</v>
      </c>
      <c r="C26" s="3" t="s">
        <v>27</v>
      </c>
      <c r="D26" s="3" t="s">
        <v>28</v>
      </c>
      <c r="E26" s="3" t="s">
        <v>133</v>
      </c>
      <c r="F26" s="3" t="s">
        <v>20</v>
      </c>
      <c r="G26" s="3" t="s">
        <v>21</v>
      </c>
      <c r="H26" s="3" t="s">
        <v>101</v>
      </c>
      <c r="I26" s="3" t="s">
        <v>38</v>
      </c>
      <c r="J26" s="3" t="s">
        <v>102</v>
      </c>
      <c r="K26" s="3">
        <v>1</v>
      </c>
      <c r="L26" s="3">
        <v>40</v>
      </c>
      <c r="M26" s="3">
        <v>89</v>
      </c>
      <c r="N26" s="3">
        <v>89</v>
      </c>
      <c r="O26" s="3">
        <v>40</v>
      </c>
      <c r="P26" s="3">
        <v>49</v>
      </c>
    </row>
    <row r="27" spans="1:16" x14ac:dyDescent="0.3">
      <c r="A27" s="3" t="s">
        <v>134</v>
      </c>
      <c r="B27" s="4" t="s">
        <v>135</v>
      </c>
      <c r="C27" s="3" t="s">
        <v>27</v>
      </c>
      <c r="D27" s="3" t="s">
        <v>28</v>
      </c>
      <c r="E27" s="3" t="s">
        <v>136</v>
      </c>
      <c r="F27" s="3" t="s">
        <v>130</v>
      </c>
      <c r="G27" s="3" t="s">
        <v>45</v>
      </c>
      <c r="H27" s="3" t="s">
        <v>46</v>
      </c>
      <c r="I27" s="3" t="s">
        <v>23</v>
      </c>
      <c r="J27" s="3" t="s">
        <v>47</v>
      </c>
      <c r="K27" s="3">
        <v>3</v>
      </c>
      <c r="L27" s="3">
        <v>150</v>
      </c>
      <c r="M27" s="3">
        <v>250</v>
      </c>
      <c r="N27" s="3">
        <v>750</v>
      </c>
      <c r="O27" s="3">
        <v>450</v>
      </c>
      <c r="P27" s="3">
        <v>300</v>
      </c>
    </row>
    <row r="28" spans="1:16" x14ac:dyDescent="0.3">
      <c r="A28" s="3" t="s">
        <v>137</v>
      </c>
      <c r="B28" s="4" t="s">
        <v>138</v>
      </c>
      <c r="C28" s="3" t="s">
        <v>17</v>
      </c>
      <c r="D28" s="3" t="s">
        <v>18</v>
      </c>
      <c r="E28" s="3" t="s">
        <v>100</v>
      </c>
      <c r="F28" s="3" t="s">
        <v>20</v>
      </c>
      <c r="G28" s="3" t="s">
        <v>21</v>
      </c>
      <c r="H28" s="3" t="s">
        <v>46</v>
      </c>
      <c r="I28" s="3" t="s">
        <v>23</v>
      </c>
      <c r="J28" s="3" t="s">
        <v>47</v>
      </c>
      <c r="K28" s="3">
        <v>2</v>
      </c>
      <c r="L28" s="3">
        <v>150</v>
      </c>
      <c r="M28" s="3">
        <v>250</v>
      </c>
      <c r="N28" s="3">
        <v>500</v>
      </c>
      <c r="O28" s="3">
        <v>300</v>
      </c>
      <c r="P28" s="3">
        <v>200</v>
      </c>
    </row>
    <row r="29" spans="1:16" x14ac:dyDescent="0.3">
      <c r="A29" s="3" t="s">
        <v>139</v>
      </c>
      <c r="B29" s="4" t="s">
        <v>140</v>
      </c>
      <c r="C29" s="3" t="s">
        <v>108</v>
      </c>
      <c r="D29" s="3" t="s">
        <v>18</v>
      </c>
      <c r="E29" s="3" t="s">
        <v>141</v>
      </c>
      <c r="F29" s="3" t="s">
        <v>20</v>
      </c>
      <c r="G29" s="3" t="s">
        <v>21</v>
      </c>
      <c r="H29" s="3" t="s">
        <v>32</v>
      </c>
      <c r="I29" s="3" t="s">
        <v>23</v>
      </c>
      <c r="J29" s="3" t="s">
        <v>33</v>
      </c>
      <c r="K29" s="3">
        <v>1</v>
      </c>
      <c r="L29" s="3">
        <v>800</v>
      </c>
      <c r="M29" s="3">
        <v>1200</v>
      </c>
      <c r="N29" s="3">
        <v>1200</v>
      </c>
      <c r="O29" s="3">
        <v>800</v>
      </c>
      <c r="P29" s="3">
        <v>400</v>
      </c>
    </row>
    <row r="30" spans="1:16" x14ac:dyDescent="0.3">
      <c r="A30" s="3" t="s">
        <v>142</v>
      </c>
      <c r="B30" s="4" t="s">
        <v>143</v>
      </c>
      <c r="C30" s="3" t="s">
        <v>42</v>
      </c>
      <c r="D30" s="3" t="s">
        <v>43</v>
      </c>
      <c r="E30" s="3" t="s">
        <v>144</v>
      </c>
      <c r="F30" s="3" t="s">
        <v>20</v>
      </c>
      <c r="G30" s="3" t="s">
        <v>45</v>
      </c>
      <c r="H30" s="3" t="s">
        <v>101</v>
      </c>
      <c r="I30" s="3" t="s">
        <v>38</v>
      </c>
      <c r="J30" s="3" t="s">
        <v>102</v>
      </c>
      <c r="K30" s="3">
        <v>1</v>
      </c>
      <c r="L30" s="3">
        <v>40</v>
      </c>
      <c r="M30" s="3">
        <v>89</v>
      </c>
      <c r="N30" s="3">
        <v>89</v>
      </c>
      <c r="O30" s="3">
        <v>40</v>
      </c>
      <c r="P30" s="3">
        <v>49</v>
      </c>
    </row>
    <row r="31" spans="1:16" x14ac:dyDescent="0.3">
      <c r="A31" s="3" t="s">
        <v>145</v>
      </c>
      <c r="B31" s="4" t="s">
        <v>146</v>
      </c>
      <c r="C31" s="3" t="s">
        <v>65</v>
      </c>
      <c r="D31" s="3" t="s">
        <v>43</v>
      </c>
      <c r="E31" s="3" t="s">
        <v>147</v>
      </c>
      <c r="F31" s="3" t="s">
        <v>20</v>
      </c>
      <c r="G31" s="3" t="s">
        <v>21</v>
      </c>
      <c r="H31" s="3" t="s">
        <v>90</v>
      </c>
      <c r="I31" s="3" t="s">
        <v>61</v>
      </c>
      <c r="J31" s="3" t="s">
        <v>91</v>
      </c>
      <c r="K31" s="3">
        <v>1</v>
      </c>
      <c r="L31" s="3">
        <v>15</v>
      </c>
      <c r="M31" s="3">
        <v>45</v>
      </c>
      <c r="N31" s="3">
        <v>45</v>
      </c>
      <c r="O31" s="3">
        <v>15</v>
      </c>
      <c r="P31" s="3">
        <v>30</v>
      </c>
    </row>
    <row r="32" spans="1:16" x14ac:dyDescent="0.3">
      <c r="A32" s="3" t="s">
        <v>148</v>
      </c>
      <c r="B32" s="4" t="s">
        <v>149</v>
      </c>
      <c r="C32" s="3" t="s">
        <v>17</v>
      </c>
      <c r="D32" s="3" t="s">
        <v>18</v>
      </c>
      <c r="E32" s="3" t="s">
        <v>150</v>
      </c>
      <c r="F32" s="3" t="s">
        <v>30</v>
      </c>
      <c r="G32" s="3" t="s">
        <v>21</v>
      </c>
      <c r="H32" s="3" t="s">
        <v>85</v>
      </c>
      <c r="I32" s="3" t="s">
        <v>80</v>
      </c>
      <c r="J32" s="3" t="s">
        <v>86</v>
      </c>
      <c r="K32" s="3">
        <v>1</v>
      </c>
      <c r="L32" s="3">
        <v>45</v>
      </c>
      <c r="M32" s="3">
        <v>110</v>
      </c>
      <c r="N32" s="3">
        <v>110</v>
      </c>
      <c r="O32" s="3">
        <v>45</v>
      </c>
      <c r="P32" s="3">
        <v>65</v>
      </c>
    </row>
    <row r="33" spans="1:16" x14ac:dyDescent="0.3">
      <c r="A33" s="3" t="s">
        <v>151</v>
      </c>
      <c r="B33" s="4" t="s">
        <v>152</v>
      </c>
      <c r="C33" s="3" t="s">
        <v>17</v>
      </c>
      <c r="D33" s="3" t="s">
        <v>18</v>
      </c>
      <c r="E33" s="3" t="s">
        <v>153</v>
      </c>
      <c r="F33" s="3" t="s">
        <v>20</v>
      </c>
      <c r="G33" s="3" t="s">
        <v>31</v>
      </c>
      <c r="H33" s="3" t="s">
        <v>90</v>
      </c>
      <c r="I33" s="3" t="s">
        <v>61</v>
      </c>
      <c r="J33" s="3" t="s">
        <v>91</v>
      </c>
      <c r="K33" s="3">
        <v>1</v>
      </c>
      <c r="L33" s="3">
        <v>15</v>
      </c>
      <c r="M33" s="3">
        <v>45</v>
      </c>
      <c r="N33" s="3">
        <v>45</v>
      </c>
      <c r="O33" s="3">
        <v>15</v>
      </c>
      <c r="P33" s="3">
        <v>30</v>
      </c>
    </row>
    <row r="34" spans="1:16" x14ac:dyDescent="0.3">
      <c r="A34" s="3" t="s">
        <v>154</v>
      </c>
      <c r="B34" s="4" t="s">
        <v>155</v>
      </c>
      <c r="C34" s="3" t="s">
        <v>108</v>
      </c>
      <c r="D34" s="3" t="s">
        <v>18</v>
      </c>
      <c r="E34" s="3" t="s">
        <v>156</v>
      </c>
      <c r="F34" s="3" t="s">
        <v>30</v>
      </c>
      <c r="G34" s="3" t="s">
        <v>21</v>
      </c>
      <c r="H34" s="3" t="s">
        <v>79</v>
      </c>
      <c r="I34" s="3" t="s">
        <v>80</v>
      </c>
      <c r="J34" s="3" t="s">
        <v>81</v>
      </c>
      <c r="K34" s="3">
        <v>2</v>
      </c>
      <c r="L34" s="3">
        <v>20</v>
      </c>
      <c r="M34" s="3">
        <v>60</v>
      </c>
      <c r="N34" s="3">
        <v>120</v>
      </c>
      <c r="O34" s="3">
        <v>40</v>
      </c>
      <c r="P34" s="3">
        <v>80</v>
      </c>
    </row>
    <row r="35" spans="1:16" x14ac:dyDescent="0.3">
      <c r="A35" s="3" t="s">
        <v>157</v>
      </c>
      <c r="B35" s="4" t="s">
        <v>35</v>
      </c>
      <c r="C35" s="3" t="s">
        <v>17</v>
      </c>
      <c r="D35" s="3" t="s">
        <v>18</v>
      </c>
      <c r="E35" s="3" t="s">
        <v>158</v>
      </c>
      <c r="F35" s="3" t="s">
        <v>20</v>
      </c>
      <c r="G35" s="3" t="s">
        <v>21</v>
      </c>
      <c r="H35" s="3" t="s">
        <v>101</v>
      </c>
      <c r="I35" s="3" t="s">
        <v>38</v>
      </c>
      <c r="J35" s="3" t="s">
        <v>102</v>
      </c>
      <c r="K35" s="3">
        <v>2</v>
      </c>
      <c r="L35" s="3">
        <v>40</v>
      </c>
      <c r="M35" s="3">
        <v>89</v>
      </c>
      <c r="N35" s="3">
        <v>178</v>
      </c>
      <c r="O35" s="3">
        <v>80</v>
      </c>
      <c r="P35" s="3">
        <v>98</v>
      </c>
    </row>
    <row r="36" spans="1:16" x14ac:dyDescent="0.3">
      <c r="A36" s="3" t="s">
        <v>159</v>
      </c>
      <c r="B36" s="4" t="s">
        <v>160</v>
      </c>
      <c r="C36" s="3" t="s">
        <v>27</v>
      </c>
      <c r="D36" s="3" t="s">
        <v>28</v>
      </c>
      <c r="E36" s="3" t="s">
        <v>161</v>
      </c>
      <c r="F36" s="3" t="s">
        <v>20</v>
      </c>
      <c r="G36" s="3" t="s">
        <v>21</v>
      </c>
      <c r="H36" s="3" t="s">
        <v>46</v>
      </c>
      <c r="I36" s="3" t="s">
        <v>23</v>
      </c>
      <c r="J36" s="3" t="s">
        <v>47</v>
      </c>
      <c r="K36" s="3">
        <v>1</v>
      </c>
      <c r="L36" s="3">
        <v>150</v>
      </c>
      <c r="M36" s="3">
        <v>250</v>
      </c>
      <c r="N36" s="3">
        <v>250</v>
      </c>
      <c r="O36" s="3">
        <v>150</v>
      </c>
      <c r="P36" s="3">
        <v>100</v>
      </c>
    </row>
    <row r="37" spans="1:16" x14ac:dyDescent="0.3">
      <c r="A37" s="3" t="s">
        <v>162</v>
      </c>
      <c r="B37" s="4" t="s">
        <v>163</v>
      </c>
      <c r="C37" s="3" t="s">
        <v>42</v>
      </c>
      <c r="D37" s="3" t="s">
        <v>43</v>
      </c>
      <c r="E37" s="3" t="s">
        <v>164</v>
      </c>
      <c r="F37" s="3" t="s">
        <v>20</v>
      </c>
      <c r="G37" s="3" t="s">
        <v>21</v>
      </c>
      <c r="H37" s="3" t="s">
        <v>22</v>
      </c>
      <c r="I37" s="3" t="s">
        <v>23</v>
      </c>
      <c r="J37" s="3" t="s">
        <v>24</v>
      </c>
      <c r="K37" s="3">
        <v>1</v>
      </c>
      <c r="L37" s="3">
        <v>50</v>
      </c>
      <c r="M37" s="3">
        <v>99</v>
      </c>
      <c r="N37" s="3">
        <v>99</v>
      </c>
      <c r="O37" s="3">
        <v>50</v>
      </c>
      <c r="P37" s="3">
        <v>49</v>
      </c>
    </row>
    <row r="38" spans="1:16" x14ac:dyDescent="0.3">
      <c r="A38" s="3" t="s">
        <v>165</v>
      </c>
      <c r="B38" s="4" t="s">
        <v>166</v>
      </c>
      <c r="C38" s="3" t="s">
        <v>108</v>
      </c>
      <c r="D38" s="3" t="s">
        <v>18</v>
      </c>
      <c r="E38" s="3" t="s">
        <v>167</v>
      </c>
      <c r="F38" s="3" t="s">
        <v>20</v>
      </c>
      <c r="G38" s="3" t="s">
        <v>21</v>
      </c>
      <c r="H38" s="3" t="s">
        <v>37</v>
      </c>
      <c r="I38" s="3" t="s">
        <v>38</v>
      </c>
      <c r="J38" s="3" t="s">
        <v>39</v>
      </c>
      <c r="K38" s="3">
        <v>1</v>
      </c>
      <c r="L38" s="3">
        <v>60</v>
      </c>
      <c r="M38" s="3">
        <v>120</v>
      </c>
      <c r="N38" s="3">
        <v>120</v>
      </c>
      <c r="O38" s="3">
        <v>60</v>
      </c>
      <c r="P38" s="3">
        <v>60</v>
      </c>
    </row>
    <row r="39" spans="1:16" x14ac:dyDescent="0.3">
      <c r="A39" s="3" t="s">
        <v>168</v>
      </c>
      <c r="B39" s="4" t="s">
        <v>169</v>
      </c>
      <c r="C39" s="3" t="s">
        <v>27</v>
      </c>
      <c r="D39" s="3" t="s">
        <v>28</v>
      </c>
      <c r="E39" s="3" t="s">
        <v>170</v>
      </c>
      <c r="F39" s="3" t="s">
        <v>30</v>
      </c>
      <c r="G39" s="3" t="s">
        <v>21</v>
      </c>
      <c r="H39" s="3" t="s">
        <v>90</v>
      </c>
      <c r="I39" s="3" t="s">
        <v>61</v>
      </c>
      <c r="J39" s="3" t="s">
        <v>91</v>
      </c>
      <c r="K39" s="3">
        <v>1</v>
      </c>
      <c r="L39" s="3">
        <v>15</v>
      </c>
      <c r="M39" s="3">
        <v>45</v>
      </c>
      <c r="N39" s="3">
        <v>45</v>
      </c>
      <c r="O39" s="3">
        <v>15</v>
      </c>
      <c r="P39" s="3">
        <v>30</v>
      </c>
    </row>
    <row r="40" spans="1:16" x14ac:dyDescent="0.3">
      <c r="A40" s="3" t="s">
        <v>171</v>
      </c>
      <c r="B40" s="4" t="s">
        <v>172</v>
      </c>
      <c r="C40" s="3" t="s">
        <v>42</v>
      </c>
      <c r="D40" s="3" t="s">
        <v>43</v>
      </c>
      <c r="E40" s="3" t="s">
        <v>121</v>
      </c>
      <c r="F40" s="3" t="s">
        <v>30</v>
      </c>
      <c r="G40" s="3" t="s">
        <v>21</v>
      </c>
      <c r="H40" s="3" t="s">
        <v>173</v>
      </c>
      <c r="I40" s="3" t="s">
        <v>61</v>
      </c>
      <c r="J40" s="3" t="s">
        <v>174</v>
      </c>
      <c r="K40" s="3">
        <v>2</v>
      </c>
      <c r="L40" s="3">
        <v>35</v>
      </c>
      <c r="M40" s="3">
        <v>95</v>
      </c>
      <c r="N40" s="3">
        <v>190</v>
      </c>
      <c r="O40" s="3">
        <v>70</v>
      </c>
      <c r="P40" s="3">
        <v>120</v>
      </c>
    </row>
    <row r="41" spans="1:16" x14ac:dyDescent="0.3">
      <c r="A41" s="3" t="s">
        <v>175</v>
      </c>
      <c r="B41" s="4" t="s">
        <v>176</v>
      </c>
      <c r="C41" s="3" t="s">
        <v>65</v>
      </c>
      <c r="D41" s="3" t="s">
        <v>43</v>
      </c>
      <c r="E41" s="3" t="s">
        <v>177</v>
      </c>
      <c r="F41" s="3" t="s">
        <v>130</v>
      </c>
      <c r="G41" s="3" t="s">
        <v>21</v>
      </c>
      <c r="H41" s="3" t="s">
        <v>37</v>
      </c>
      <c r="I41" s="3" t="s">
        <v>38</v>
      </c>
      <c r="J41" s="3" t="s">
        <v>39</v>
      </c>
      <c r="K41" s="3">
        <v>1</v>
      </c>
      <c r="L41" s="3">
        <v>60</v>
      </c>
      <c r="M41" s="3">
        <v>120</v>
      </c>
      <c r="N41" s="3">
        <v>120</v>
      </c>
      <c r="O41" s="3">
        <v>60</v>
      </c>
      <c r="P41" s="3">
        <v>60</v>
      </c>
    </row>
    <row r="42" spans="1:16" x14ac:dyDescent="0.3">
      <c r="A42" s="3" t="s">
        <v>178</v>
      </c>
      <c r="B42" s="4" t="s">
        <v>179</v>
      </c>
      <c r="C42" s="3" t="s">
        <v>77</v>
      </c>
      <c r="D42" s="3" t="s">
        <v>70</v>
      </c>
      <c r="E42" s="3" t="s">
        <v>180</v>
      </c>
      <c r="F42" s="3" t="s">
        <v>20</v>
      </c>
      <c r="G42" s="3" t="s">
        <v>21</v>
      </c>
      <c r="H42" s="3" t="s">
        <v>37</v>
      </c>
      <c r="I42" s="3" t="s">
        <v>38</v>
      </c>
      <c r="J42" s="3" t="s">
        <v>39</v>
      </c>
      <c r="K42" s="3">
        <v>1</v>
      </c>
      <c r="L42" s="3">
        <v>60</v>
      </c>
      <c r="M42" s="3">
        <v>120</v>
      </c>
      <c r="N42" s="3">
        <v>120</v>
      </c>
      <c r="O42" s="3">
        <v>60</v>
      </c>
      <c r="P42" s="3">
        <v>60</v>
      </c>
    </row>
    <row r="43" spans="1:16" x14ac:dyDescent="0.3">
      <c r="A43" s="3" t="s">
        <v>181</v>
      </c>
      <c r="B43" s="4" t="s">
        <v>99</v>
      </c>
      <c r="C43" s="3" t="s">
        <v>108</v>
      </c>
      <c r="D43" s="3" t="s">
        <v>18</v>
      </c>
      <c r="E43" s="3" t="s">
        <v>182</v>
      </c>
      <c r="F43" s="3" t="s">
        <v>130</v>
      </c>
      <c r="G43" s="3" t="s">
        <v>45</v>
      </c>
      <c r="H43" s="3" t="s">
        <v>125</v>
      </c>
      <c r="I43" s="3" t="s">
        <v>80</v>
      </c>
      <c r="J43" s="3" t="s">
        <v>126</v>
      </c>
      <c r="K43" s="3">
        <v>2</v>
      </c>
      <c r="L43" s="3">
        <v>25</v>
      </c>
      <c r="M43" s="3">
        <v>55</v>
      </c>
      <c r="N43" s="3">
        <v>110</v>
      </c>
      <c r="O43" s="3">
        <v>50</v>
      </c>
      <c r="P43" s="3">
        <v>60</v>
      </c>
    </row>
    <row r="44" spans="1:16" x14ac:dyDescent="0.3">
      <c r="A44" s="3" t="s">
        <v>183</v>
      </c>
      <c r="B44" s="4" t="s">
        <v>184</v>
      </c>
      <c r="C44" s="3" t="s">
        <v>53</v>
      </c>
      <c r="D44" s="3" t="s">
        <v>28</v>
      </c>
      <c r="E44" s="3" t="s">
        <v>185</v>
      </c>
      <c r="F44" s="3" t="s">
        <v>20</v>
      </c>
      <c r="G44" s="3" t="s">
        <v>45</v>
      </c>
      <c r="H44" s="3" t="s">
        <v>85</v>
      </c>
      <c r="I44" s="3" t="s">
        <v>80</v>
      </c>
      <c r="J44" s="3" t="s">
        <v>86</v>
      </c>
      <c r="K44" s="3">
        <v>1</v>
      </c>
      <c r="L44" s="3">
        <v>45</v>
      </c>
      <c r="M44" s="3">
        <v>110</v>
      </c>
      <c r="N44" s="3">
        <v>110</v>
      </c>
      <c r="O44" s="3">
        <v>45</v>
      </c>
      <c r="P44" s="3">
        <v>65</v>
      </c>
    </row>
    <row r="45" spans="1:16" x14ac:dyDescent="0.3">
      <c r="A45" s="3" t="s">
        <v>186</v>
      </c>
      <c r="B45" s="4" t="s">
        <v>187</v>
      </c>
      <c r="C45" s="3" t="s">
        <v>77</v>
      </c>
      <c r="D45" s="3" t="s">
        <v>70</v>
      </c>
      <c r="E45" s="3" t="s">
        <v>188</v>
      </c>
      <c r="F45" s="3" t="s">
        <v>30</v>
      </c>
      <c r="G45" s="3" t="s">
        <v>31</v>
      </c>
      <c r="H45" s="3" t="s">
        <v>79</v>
      </c>
      <c r="I45" s="3" t="s">
        <v>80</v>
      </c>
      <c r="J45" s="3" t="s">
        <v>81</v>
      </c>
      <c r="K45" s="3">
        <v>1</v>
      </c>
      <c r="L45" s="3">
        <v>20</v>
      </c>
      <c r="M45" s="3">
        <v>60</v>
      </c>
      <c r="N45" s="3">
        <v>60</v>
      </c>
      <c r="O45" s="3">
        <v>20</v>
      </c>
      <c r="P45" s="3">
        <v>40</v>
      </c>
    </row>
    <row r="46" spans="1:16" x14ac:dyDescent="0.3">
      <c r="A46" s="3" t="s">
        <v>189</v>
      </c>
      <c r="B46" s="4" t="s">
        <v>58</v>
      </c>
      <c r="C46" s="3" t="s">
        <v>108</v>
      </c>
      <c r="D46" s="3" t="s">
        <v>18</v>
      </c>
      <c r="E46" s="3" t="s">
        <v>190</v>
      </c>
      <c r="F46" s="3" t="s">
        <v>20</v>
      </c>
      <c r="G46" s="3" t="s">
        <v>21</v>
      </c>
      <c r="H46" s="3" t="s">
        <v>32</v>
      </c>
      <c r="I46" s="3" t="s">
        <v>23</v>
      </c>
      <c r="J46" s="3" t="s">
        <v>33</v>
      </c>
      <c r="K46" s="3">
        <v>1</v>
      </c>
      <c r="L46" s="3">
        <v>800</v>
      </c>
      <c r="M46" s="3">
        <v>1200</v>
      </c>
      <c r="N46" s="3">
        <v>1200</v>
      </c>
      <c r="O46" s="3">
        <v>800</v>
      </c>
      <c r="P46" s="3">
        <v>400</v>
      </c>
    </row>
    <row r="47" spans="1:16" x14ac:dyDescent="0.3">
      <c r="A47" s="3" t="s">
        <v>191</v>
      </c>
      <c r="B47" s="4" t="s">
        <v>192</v>
      </c>
      <c r="C47" s="3" t="s">
        <v>69</v>
      </c>
      <c r="D47" s="3" t="s">
        <v>70</v>
      </c>
      <c r="E47" s="3" t="s">
        <v>193</v>
      </c>
      <c r="F47" s="3" t="s">
        <v>20</v>
      </c>
      <c r="G47" s="3" t="s">
        <v>21</v>
      </c>
      <c r="H47" s="3" t="s">
        <v>85</v>
      </c>
      <c r="I47" s="3" t="s">
        <v>80</v>
      </c>
      <c r="J47" s="3" t="s">
        <v>86</v>
      </c>
      <c r="K47" s="3">
        <v>1</v>
      </c>
      <c r="L47" s="3">
        <v>45</v>
      </c>
      <c r="M47" s="3">
        <v>110</v>
      </c>
      <c r="N47" s="3">
        <v>110</v>
      </c>
      <c r="O47" s="3">
        <v>45</v>
      </c>
      <c r="P47" s="3">
        <v>65</v>
      </c>
    </row>
    <row r="48" spans="1:16" x14ac:dyDescent="0.3">
      <c r="A48" s="3" t="s">
        <v>194</v>
      </c>
      <c r="B48" s="4" t="s">
        <v>195</v>
      </c>
      <c r="C48" s="3" t="s">
        <v>17</v>
      </c>
      <c r="D48" s="3" t="s">
        <v>18</v>
      </c>
      <c r="E48" s="3" t="s">
        <v>196</v>
      </c>
      <c r="F48" s="3" t="s">
        <v>20</v>
      </c>
      <c r="G48" s="3" t="s">
        <v>45</v>
      </c>
      <c r="H48" s="3" t="s">
        <v>32</v>
      </c>
      <c r="I48" s="3" t="s">
        <v>23</v>
      </c>
      <c r="J48" s="3" t="s">
        <v>33</v>
      </c>
      <c r="K48" s="3">
        <v>3</v>
      </c>
      <c r="L48" s="3">
        <v>800</v>
      </c>
      <c r="M48" s="3">
        <v>1200</v>
      </c>
      <c r="N48" s="3">
        <v>3600</v>
      </c>
      <c r="O48" s="3">
        <v>2400</v>
      </c>
      <c r="P48" s="3">
        <v>1200</v>
      </c>
    </row>
    <row r="49" spans="1:16" x14ac:dyDescent="0.3">
      <c r="A49" s="3" t="s">
        <v>197</v>
      </c>
      <c r="B49" s="4" t="s">
        <v>198</v>
      </c>
      <c r="C49" s="3" t="s">
        <v>108</v>
      </c>
      <c r="D49" s="3" t="s">
        <v>18</v>
      </c>
      <c r="E49" s="3" t="s">
        <v>199</v>
      </c>
      <c r="F49" s="3" t="s">
        <v>30</v>
      </c>
      <c r="G49" s="3" t="s">
        <v>31</v>
      </c>
      <c r="H49" s="3" t="s">
        <v>101</v>
      </c>
      <c r="I49" s="3" t="s">
        <v>38</v>
      </c>
      <c r="J49" s="3" t="s">
        <v>102</v>
      </c>
      <c r="K49" s="3">
        <v>1</v>
      </c>
      <c r="L49" s="3">
        <v>40</v>
      </c>
      <c r="M49" s="3">
        <v>89</v>
      </c>
      <c r="N49" s="3">
        <v>89</v>
      </c>
      <c r="O49" s="3">
        <v>40</v>
      </c>
      <c r="P49" s="3">
        <v>49</v>
      </c>
    </row>
    <row r="50" spans="1:16" x14ac:dyDescent="0.3">
      <c r="A50" s="3" t="s">
        <v>200</v>
      </c>
      <c r="B50" s="4" t="s">
        <v>201</v>
      </c>
      <c r="C50" s="3" t="s">
        <v>108</v>
      </c>
      <c r="D50" s="3" t="s">
        <v>18</v>
      </c>
      <c r="E50" s="3" t="s">
        <v>202</v>
      </c>
      <c r="F50" s="3" t="s">
        <v>20</v>
      </c>
      <c r="G50" s="3" t="s">
        <v>45</v>
      </c>
      <c r="H50" s="3" t="s">
        <v>125</v>
      </c>
      <c r="I50" s="3" t="s">
        <v>80</v>
      </c>
      <c r="J50" s="3" t="s">
        <v>126</v>
      </c>
      <c r="K50" s="3">
        <v>1</v>
      </c>
      <c r="L50" s="3">
        <v>25</v>
      </c>
      <c r="M50" s="3">
        <v>55</v>
      </c>
      <c r="N50" s="3">
        <v>55</v>
      </c>
      <c r="O50" s="3">
        <v>25</v>
      </c>
      <c r="P50" s="3">
        <v>30</v>
      </c>
    </row>
    <row r="51" spans="1:16" x14ac:dyDescent="0.3">
      <c r="A51" s="3" t="s">
        <v>203</v>
      </c>
      <c r="B51" s="4" t="s">
        <v>204</v>
      </c>
      <c r="C51" s="3" t="s">
        <v>108</v>
      </c>
      <c r="D51" s="3" t="s">
        <v>18</v>
      </c>
      <c r="E51" s="3" t="s">
        <v>205</v>
      </c>
      <c r="F51" s="3" t="s">
        <v>130</v>
      </c>
      <c r="G51" s="3" t="s">
        <v>31</v>
      </c>
      <c r="H51" s="3" t="s">
        <v>101</v>
      </c>
      <c r="I51" s="3" t="s">
        <v>38</v>
      </c>
      <c r="J51" s="3" t="s">
        <v>102</v>
      </c>
      <c r="K51" s="3">
        <v>2</v>
      </c>
      <c r="L51" s="3">
        <v>40</v>
      </c>
      <c r="M51" s="3">
        <v>89</v>
      </c>
      <c r="N51" s="3">
        <v>178</v>
      </c>
      <c r="O51" s="3">
        <v>80</v>
      </c>
      <c r="P51" s="3">
        <v>98</v>
      </c>
    </row>
    <row r="52" spans="1:16" x14ac:dyDescent="0.3">
      <c r="A52" s="3" t="s">
        <v>206</v>
      </c>
      <c r="B52" s="4" t="s">
        <v>207</v>
      </c>
      <c r="C52" s="3" t="s">
        <v>27</v>
      </c>
      <c r="D52" s="3" t="s">
        <v>28</v>
      </c>
      <c r="E52" s="3" t="s">
        <v>208</v>
      </c>
      <c r="F52" s="3" t="s">
        <v>20</v>
      </c>
      <c r="G52" s="3" t="s">
        <v>45</v>
      </c>
      <c r="H52" s="3" t="s">
        <v>32</v>
      </c>
      <c r="I52" s="3" t="s">
        <v>23</v>
      </c>
      <c r="J52" s="3" t="s">
        <v>33</v>
      </c>
      <c r="K52" s="3">
        <v>2</v>
      </c>
      <c r="L52" s="3">
        <v>800</v>
      </c>
      <c r="M52" s="3">
        <v>1200</v>
      </c>
      <c r="N52" s="3">
        <v>2400</v>
      </c>
      <c r="O52" s="3">
        <v>1600</v>
      </c>
      <c r="P52" s="3">
        <v>800</v>
      </c>
    </row>
    <row r="53" spans="1:16" x14ac:dyDescent="0.3">
      <c r="A53" s="3" t="s">
        <v>209</v>
      </c>
      <c r="B53" s="4" t="s">
        <v>210</v>
      </c>
      <c r="C53" s="3" t="s">
        <v>27</v>
      </c>
      <c r="D53" s="3" t="s">
        <v>28</v>
      </c>
      <c r="E53" s="3" t="s">
        <v>211</v>
      </c>
      <c r="F53" s="3" t="s">
        <v>30</v>
      </c>
      <c r="G53" s="3" t="s">
        <v>45</v>
      </c>
      <c r="H53" s="3" t="s">
        <v>60</v>
      </c>
      <c r="I53" s="3" t="s">
        <v>61</v>
      </c>
      <c r="J53" s="3" t="s">
        <v>62</v>
      </c>
      <c r="K53" s="3">
        <v>1</v>
      </c>
      <c r="L53" s="3">
        <v>25</v>
      </c>
      <c r="M53" s="3">
        <v>69</v>
      </c>
      <c r="N53" s="3">
        <v>69</v>
      </c>
      <c r="O53" s="3">
        <v>25</v>
      </c>
      <c r="P53" s="3">
        <v>44</v>
      </c>
    </row>
    <row r="54" spans="1:16" x14ac:dyDescent="0.3">
      <c r="A54" s="3" t="s">
        <v>212</v>
      </c>
      <c r="B54" s="4" t="s">
        <v>213</v>
      </c>
      <c r="C54" s="3" t="s">
        <v>53</v>
      </c>
      <c r="D54" s="3" t="s">
        <v>28</v>
      </c>
      <c r="E54" s="3" t="s">
        <v>144</v>
      </c>
      <c r="F54" s="3" t="s">
        <v>20</v>
      </c>
      <c r="G54" s="3" t="s">
        <v>21</v>
      </c>
      <c r="H54" s="3" t="s">
        <v>32</v>
      </c>
      <c r="I54" s="3" t="s">
        <v>23</v>
      </c>
      <c r="J54" s="3" t="s">
        <v>33</v>
      </c>
      <c r="K54" s="3">
        <v>2</v>
      </c>
      <c r="L54" s="3">
        <v>800</v>
      </c>
      <c r="M54" s="3">
        <v>1200</v>
      </c>
      <c r="N54" s="3">
        <v>2400</v>
      </c>
      <c r="O54" s="3">
        <v>1600</v>
      </c>
      <c r="P54" s="3">
        <v>800</v>
      </c>
    </row>
    <row r="55" spans="1:16" x14ac:dyDescent="0.3">
      <c r="A55" s="3" t="s">
        <v>214</v>
      </c>
      <c r="B55" s="4" t="s">
        <v>215</v>
      </c>
      <c r="C55" s="3" t="s">
        <v>69</v>
      </c>
      <c r="D55" s="3" t="s">
        <v>70</v>
      </c>
      <c r="E55" s="3" t="s">
        <v>216</v>
      </c>
      <c r="F55" s="3" t="s">
        <v>20</v>
      </c>
      <c r="G55" s="3" t="s">
        <v>45</v>
      </c>
      <c r="H55" s="3" t="s">
        <v>60</v>
      </c>
      <c r="I55" s="3" t="s">
        <v>61</v>
      </c>
      <c r="J55" s="3" t="s">
        <v>62</v>
      </c>
      <c r="K55" s="3">
        <v>2</v>
      </c>
      <c r="L55" s="3">
        <v>25</v>
      </c>
      <c r="M55" s="3">
        <v>69</v>
      </c>
      <c r="N55" s="3">
        <v>138</v>
      </c>
      <c r="O55" s="3">
        <v>50</v>
      </c>
      <c r="P55" s="3">
        <v>88</v>
      </c>
    </row>
    <row r="56" spans="1:16" x14ac:dyDescent="0.3">
      <c r="A56" s="3" t="s">
        <v>217</v>
      </c>
      <c r="B56" s="4" t="s">
        <v>218</v>
      </c>
      <c r="C56" s="3" t="s">
        <v>69</v>
      </c>
      <c r="D56" s="3" t="s">
        <v>70</v>
      </c>
      <c r="E56" s="3" t="s">
        <v>156</v>
      </c>
      <c r="F56" s="3" t="s">
        <v>20</v>
      </c>
      <c r="G56" s="3" t="s">
        <v>31</v>
      </c>
      <c r="H56" s="3" t="s">
        <v>90</v>
      </c>
      <c r="I56" s="3" t="s">
        <v>61</v>
      </c>
      <c r="J56" s="3" t="s">
        <v>91</v>
      </c>
      <c r="K56" s="3">
        <v>4</v>
      </c>
      <c r="L56" s="3">
        <v>15</v>
      </c>
      <c r="M56" s="3">
        <v>45</v>
      </c>
      <c r="N56" s="3">
        <v>180</v>
      </c>
      <c r="O56" s="3">
        <v>60</v>
      </c>
      <c r="P56" s="3">
        <v>120</v>
      </c>
    </row>
    <row r="57" spans="1:16" x14ac:dyDescent="0.3">
      <c r="A57" s="3" t="s">
        <v>219</v>
      </c>
      <c r="B57" s="4" t="s">
        <v>220</v>
      </c>
      <c r="C57" s="3" t="s">
        <v>65</v>
      </c>
      <c r="D57" s="3" t="s">
        <v>43</v>
      </c>
      <c r="E57" s="3" t="s">
        <v>221</v>
      </c>
      <c r="F57" s="3" t="s">
        <v>130</v>
      </c>
      <c r="G57" s="3" t="s">
        <v>31</v>
      </c>
      <c r="H57" s="3" t="s">
        <v>101</v>
      </c>
      <c r="I57" s="3" t="s">
        <v>38</v>
      </c>
      <c r="J57" s="3" t="s">
        <v>102</v>
      </c>
      <c r="K57" s="3">
        <v>1</v>
      </c>
      <c r="L57" s="3">
        <v>40</v>
      </c>
      <c r="M57" s="3">
        <v>89</v>
      </c>
      <c r="N57" s="3">
        <v>89</v>
      </c>
      <c r="O57" s="3">
        <v>40</v>
      </c>
      <c r="P57" s="3">
        <v>49</v>
      </c>
    </row>
    <row r="58" spans="1:16" x14ac:dyDescent="0.3">
      <c r="A58" s="3" t="s">
        <v>222</v>
      </c>
      <c r="B58" s="4" t="s">
        <v>223</v>
      </c>
      <c r="C58" s="3" t="s">
        <v>69</v>
      </c>
      <c r="D58" s="3" t="s">
        <v>70</v>
      </c>
      <c r="E58" s="3" t="s">
        <v>224</v>
      </c>
      <c r="F58" s="3" t="s">
        <v>130</v>
      </c>
      <c r="G58" s="3" t="s">
        <v>21</v>
      </c>
      <c r="H58" s="3" t="s">
        <v>125</v>
      </c>
      <c r="I58" s="3" t="s">
        <v>80</v>
      </c>
      <c r="J58" s="3" t="s">
        <v>126</v>
      </c>
      <c r="K58" s="3">
        <v>2</v>
      </c>
      <c r="L58" s="3">
        <v>25</v>
      </c>
      <c r="M58" s="3">
        <v>55</v>
      </c>
      <c r="N58" s="3">
        <v>110</v>
      </c>
      <c r="O58" s="3">
        <v>50</v>
      </c>
      <c r="P58" s="3">
        <v>60</v>
      </c>
    </row>
    <row r="59" spans="1:16" x14ac:dyDescent="0.3">
      <c r="A59" s="3" t="s">
        <v>225</v>
      </c>
      <c r="B59" s="4" t="s">
        <v>226</v>
      </c>
      <c r="C59" s="3" t="s">
        <v>69</v>
      </c>
      <c r="D59" s="3" t="s">
        <v>70</v>
      </c>
      <c r="E59" s="3" t="s">
        <v>227</v>
      </c>
      <c r="F59" s="3" t="s">
        <v>30</v>
      </c>
      <c r="G59" s="3" t="s">
        <v>45</v>
      </c>
      <c r="H59" s="3" t="s">
        <v>46</v>
      </c>
      <c r="I59" s="3" t="s">
        <v>23</v>
      </c>
      <c r="J59" s="3" t="s">
        <v>47</v>
      </c>
      <c r="K59" s="3">
        <v>2</v>
      </c>
      <c r="L59" s="3">
        <v>150</v>
      </c>
      <c r="M59" s="3">
        <v>250</v>
      </c>
      <c r="N59" s="3">
        <v>500</v>
      </c>
      <c r="O59" s="3">
        <v>300</v>
      </c>
      <c r="P59" s="3">
        <v>200</v>
      </c>
    </row>
    <row r="60" spans="1:16" x14ac:dyDescent="0.3">
      <c r="A60" s="3" t="s">
        <v>228</v>
      </c>
      <c r="B60" s="4" t="s">
        <v>229</v>
      </c>
      <c r="C60" s="3" t="s">
        <v>65</v>
      </c>
      <c r="D60" s="3" t="s">
        <v>43</v>
      </c>
      <c r="E60" s="3" t="s">
        <v>230</v>
      </c>
      <c r="F60" s="3" t="s">
        <v>20</v>
      </c>
      <c r="G60" s="3" t="s">
        <v>21</v>
      </c>
      <c r="H60" s="3" t="s">
        <v>46</v>
      </c>
      <c r="I60" s="3" t="s">
        <v>23</v>
      </c>
      <c r="J60" s="3" t="s">
        <v>47</v>
      </c>
      <c r="K60" s="3">
        <v>1</v>
      </c>
      <c r="L60" s="3">
        <v>150</v>
      </c>
      <c r="M60" s="3">
        <v>250</v>
      </c>
      <c r="N60" s="3">
        <v>250</v>
      </c>
      <c r="O60" s="3">
        <v>150</v>
      </c>
      <c r="P60" s="3">
        <v>100</v>
      </c>
    </row>
    <row r="61" spans="1:16" x14ac:dyDescent="0.3">
      <c r="A61" s="3" t="s">
        <v>231</v>
      </c>
      <c r="B61" s="4" t="s">
        <v>232</v>
      </c>
      <c r="C61" s="3" t="s">
        <v>108</v>
      </c>
      <c r="D61" s="3" t="s">
        <v>18</v>
      </c>
      <c r="E61" s="3" t="s">
        <v>233</v>
      </c>
      <c r="F61" s="3" t="s">
        <v>20</v>
      </c>
      <c r="G61" s="3" t="s">
        <v>21</v>
      </c>
      <c r="H61" s="3" t="s">
        <v>101</v>
      </c>
      <c r="I61" s="3" t="s">
        <v>38</v>
      </c>
      <c r="J61" s="3" t="s">
        <v>102</v>
      </c>
      <c r="K61" s="3">
        <v>2</v>
      </c>
      <c r="L61" s="3">
        <v>40</v>
      </c>
      <c r="M61" s="3">
        <v>89</v>
      </c>
      <c r="N61" s="3">
        <v>178</v>
      </c>
      <c r="O61" s="3">
        <v>80</v>
      </c>
      <c r="P61" s="3">
        <v>98</v>
      </c>
    </row>
    <row r="62" spans="1:16" x14ac:dyDescent="0.3">
      <c r="A62" s="3" t="s">
        <v>234</v>
      </c>
      <c r="B62" s="4" t="s">
        <v>235</v>
      </c>
      <c r="C62" s="3" t="s">
        <v>65</v>
      </c>
      <c r="D62" s="3" t="s">
        <v>43</v>
      </c>
      <c r="E62" s="3" t="s">
        <v>236</v>
      </c>
      <c r="F62" s="3" t="s">
        <v>20</v>
      </c>
      <c r="G62" s="3" t="s">
        <v>31</v>
      </c>
      <c r="H62" s="3" t="s">
        <v>79</v>
      </c>
      <c r="I62" s="3" t="s">
        <v>80</v>
      </c>
      <c r="J62" s="3" t="s">
        <v>81</v>
      </c>
      <c r="K62" s="3">
        <v>2</v>
      </c>
      <c r="L62" s="3">
        <v>20</v>
      </c>
      <c r="M62" s="3">
        <v>60</v>
      </c>
      <c r="N62" s="3">
        <v>120</v>
      </c>
      <c r="O62" s="3">
        <v>40</v>
      </c>
      <c r="P62" s="3">
        <v>80</v>
      </c>
    </row>
    <row r="63" spans="1:16" x14ac:dyDescent="0.3">
      <c r="A63" s="3" t="s">
        <v>237</v>
      </c>
      <c r="B63" s="4" t="s">
        <v>238</v>
      </c>
      <c r="C63" s="3" t="s">
        <v>77</v>
      </c>
      <c r="D63" s="3" t="s">
        <v>70</v>
      </c>
      <c r="E63" s="3" t="s">
        <v>239</v>
      </c>
      <c r="F63" s="3" t="s">
        <v>30</v>
      </c>
      <c r="G63" s="3" t="s">
        <v>21</v>
      </c>
      <c r="H63" s="3" t="s">
        <v>55</v>
      </c>
      <c r="I63" s="3" t="s">
        <v>38</v>
      </c>
      <c r="J63" s="3" t="s">
        <v>56</v>
      </c>
      <c r="K63" s="3">
        <v>3</v>
      </c>
      <c r="L63" s="3">
        <v>30</v>
      </c>
      <c r="M63" s="3">
        <v>75</v>
      </c>
      <c r="N63" s="3">
        <v>225</v>
      </c>
      <c r="O63" s="3">
        <v>90</v>
      </c>
      <c r="P63" s="3">
        <v>135</v>
      </c>
    </row>
    <row r="64" spans="1:16" x14ac:dyDescent="0.3">
      <c r="A64" s="3" t="s">
        <v>240</v>
      </c>
      <c r="B64" s="4" t="s">
        <v>93</v>
      </c>
      <c r="C64" s="3" t="s">
        <v>27</v>
      </c>
      <c r="D64" s="3" t="s">
        <v>28</v>
      </c>
      <c r="E64" s="3" t="s">
        <v>71</v>
      </c>
      <c r="F64" s="3" t="s">
        <v>30</v>
      </c>
      <c r="G64" s="3" t="s">
        <v>45</v>
      </c>
      <c r="H64" s="3" t="s">
        <v>60</v>
      </c>
      <c r="I64" s="3" t="s">
        <v>61</v>
      </c>
      <c r="J64" s="3" t="s">
        <v>62</v>
      </c>
      <c r="K64" s="3">
        <v>1</v>
      </c>
      <c r="L64" s="3">
        <v>25</v>
      </c>
      <c r="M64" s="3">
        <v>69</v>
      </c>
      <c r="N64" s="3">
        <v>69</v>
      </c>
      <c r="O64" s="3">
        <v>25</v>
      </c>
      <c r="P64" s="3">
        <v>44</v>
      </c>
    </row>
    <row r="65" spans="1:16" x14ac:dyDescent="0.3">
      <c r="A65" s="3" t="s">
        <v>241</v>
      </c>
      <c r="B65" s="4" t="s">
        <v>242</v>
      </c>
      <c r="C65" s="3" t="s">
        <v>53</v>
      </c>
      <c r="D65" s="3" t="s">
        <v>28</v>
      </c>
      <c r="E65" s="3" t="s">
        <v>167</v>
      </c>
      <c r="F65" s="3" t="s">
        <v>30</v>
      </c>
      <c r="G65" s="3" t="s">
        <v>31</v>
      </c>
      <c r="H65" s="3" t="s">
        <v>32</v>
      </c>
      <c r="I65" s="3" t="s">
        <v>23</v>
      </c>
      <c r="J65" s="3" t="s">
        <v>33</v>
      </c>
      <c r="K65" s="3">
        <v>1</v>
      </c>
      <c r="L65" s="3">
        <v>800</v>
      </c>
      <c r="M65" s="3">
        <v>1200</v>
      </c>
      <c r="N65" s="3">
        <v>1200</v>
      </c>
      <c r="O65" s="3">
        <v>800</v>
      </c>
      <c r="P65" s="3">
        <v>400</v>
      </c>
    </row>
    <row r="66" spans="1:16" x14ac:dyDescent="0.3">
      <c r="A66" s="3" t="s">
        <v>243</v>
      </c>
      <c r="B66" s="4" t="s">
        <v>244</v>
      </c>
      <c r="C66" s="3" t="s">
        <v>65</v>
      </c>
      <c r="D66" s="3" t="s">
        <v>43</v>
      </c>
      <c r="E66" s="3" t="s">
        <v>245</v>
      </c>
      <c r="F66" s="3" t="s">
        <v>30</v>
      </c>
      <c r="G66" s="3" t="s">
        <v>31</v>
      </c>
      <c r="H66" s="3" t="s">
        <v>37</v>
      </c>
      <c r="I66" s="3" t="s">
        <v>38</v>
      </c>
      <c r="J66" s="3" t="s">
        <v>39</v>
      </c>
      <c r="K66" s="3">
        <v>2</v>
      </c>
      <c r="L66" s="3">
        <v>60</v>
      </c>
      <c r="M66" s="3">
        <v>120</v>
      </c>
      <c r="N66" s="3">
        <v>240</v>
      </c>
      <c r="O66" s="3">
        <v>120</v>
      </c>
      <c r="P66" s="3">
        <v>120</v>
      </c>
    </row>
    <row r="67" spans="1:16" x14ac:dyDescent="0.3">
      <c r="A67" s="3" t="s">
        <v>246</v>
      </c>
      <c r="B67" s="4" t="s">
        <v>247</v>
      </c>
      <c r="C67" s="3" t="s">
        <v>69</v>
      </c>
      <c r="D67" s="3" t="s">
        <v>70</v>
      </c>
      <c r="E67" s="3" t="s">
        <v>248</v>
      </c>
      <c r="F67" s="3" t="s">
        <v>30</v>
      </c>
      <c r="G67" s="3" t="s">
        <v>21</v>
      </c>
      <c r="H67" s="3" t="s">
        <v>173</v>
      </c>
      <c r="I67" s="3" t="s">
        <v>61</v>
      </c>
      <c r="J67" s="3" t="s">
        <v>174</v>
      </c>
      <c r="K67" s="3">
        <v>1</v>
      </c>
      <c r="L67" s="3">
        <v>35</v>
      </c>
      <c r="M67" s="3">
        <v>95</v>
      </c>
      <c r="N67" s="3">
        <v>95</v>
      </c>
      <c r="O67" s="3">
        <v>35</v>
      </c>
      <c r="P67" s="3">
        <v>60</v>
      </c>
    </row>
    <row r="68" spans="1:16" x14ac:dyDescent="0.3">
      <c r="A68" s="3" t="s">
        <v>249</v>
      </c>
      <c r="B68" s="4" t="s">
        <v>250</v>
      </c>
      <c r="C68" s="3" t="s">
        <v>77</v>
      </c>
      <c r="D68" s="3" t="s">
        <v>70</v>
      </c>
      <c r="E68" s="3" t="s">
        <v>251</v>
      </c>
      <c r="F68" s="3" t="s">
        <v>30</v>
      </c>
      <c r="G68" s="3" t="s">
        <v>31</v>
      </c>
      <c r="H68" s="3" t="s">
        <v>37</v>
      </c>
      <c r="I68" s="3" t="s">
        <v>38</v>
      </c>
      <c r="J68" s="3" t="s">
        <v>39</v>
      </c>
      <c r="K68" s="3">
        <v>1</v>
      </c>
      <c r="L68" s="3">
        <v>60</v>
      </c>
      <c r="M68" s="3">
        <v>120</v>
      </c>
      <c r="N68" s="3">
        <v>120</v>
      </c>
      <c r="O68" s="3">
        <v>60</v>
      </c>
      <c r="P68" s="3">
        <v>60</v>
      </c>
    </row>
    <row r="69" spans="1:16" x14ac:dyDescent="0.3">
      <c r="A69" s="3" t="s">
        <v>252</v>
      </c>
      <c r="B69" s="4" t="s">
        <v>253</v>
      </c>
      <c r="C69" s="3" t="s">
        <v>42</v>
      </c>
      <c r="D69" s="3" t="s">
        <v>43</v>
      </c>
      <c r="E69" s="3" t="s">
        <v>254</v>
      </c>
      <c r="F69" s="3" t="s">
        <v>20</v>
      </c>
      <c r="G69" s="3" t="s">
        <v>31</v>
      </c>
      <c r="H69" s="3" t="s">
        <v>101</v>
      </c>
      <c r="I69" s="3" t="s">
        <v>38</v>
      </c>
      <c r="J69" s="3" t="s">
        <v>102</v>
      </c>
      <c r="K69" s="3">
        <v>5</v>
      </c>
      <c r="L69" s="3">
        <v>40</v>
      </c>
      <c r="M69" s="3">
        <v>89</v>
      </c>
      <c r="N69" s="3">
        <v>445</v>
      </c>
      <c r="O69" s="3">
        <v>200</v>
      </c>
      <c r="P69" s="3">
        <v>245</v>
      </c>
    </row>
    <row r="70" spans="1:16" x14ac:dyDescent="0.3">
      <c r="A70" s="3" t="s">
        <v>255</v>
      </c>
      <c r="B70" s="4" t="s">
        <v>256</v>
      </c>
      <c r="C70" s="3" t="s">
        <v>108</v>
      </c>
      <c r="D70" s="3" t="s">
        <v>18</v>
      </c>
      <c r="E70" s="3" t="s">
        <v>133</v>
      </c>
      <c r="F70" s="3" t="s">
        <v>20</v>
      </c>
      <c r="G70" s="3" t="s">
        <v>21</v>
      </c>
      <c r="H70" s="3" t="s">
        <v>22</v>
      </c>
      <c r="I70" s="3" t="s">
        <v>23</v>
      </c>
      <c r="J70" s="3" t="s">
        <v>24</v>
      </c>
      <c r="K70" s="3">
        <v>5</v>
      </c>
      <c r="L70" s="3">
        <v>50</v>
      </c>
      <c r="M70" s="3">
        <v>99</v>
      </c>
      <c r="N70" s="3">
        <v>495</v>
      </c>
      <c r="O70" s="3">
        <v>250</v>
      </c>
      <c r="P70" s="3">
        <v>245</v>
      </c>
    </row>
    <row r="71" spans="1:16" x14ac:dyDescent="0.3">
      <c r="A71" s="3" t="s">
        <v>257</v>
      </c>
      <c r="B71" s="4" t="s">
        <v>258</v>
      </c>
      <c r="C71" s="3" t="s">
        <v>108</v>
      </c>
      <c r="D71" s="3" t="s">
        <v>18</v>
      </c>
      <c r="E71" s="3" t="s">
        <v>259</v>
      </c>
      <c r="F71" s="3" t="s">
        <v>30</v>
      </c>
      <c r="G71" s="3" t="s">
        <v>31</v>
      </c>
      <c r="H71" s="3" t="s">
        <v>37</v>
      </c>
      <c r="I71" s="3" t="s">
        <v>38</v>
      </c>
      <c r="J71" s="3" t="s">
        <v>39</v>
      </c>
      <c r="K71" s="3">
        <v>1</v>
      </c>
      <c r="L71" s="3">
        <v>60</v>
      </c>
      <c r="M71" s="3">
        <v>120</v>
      </c>
      <c r="N71" s="3">
        <v>120</v>
      </c>
      <c r="O71" s="3">
        <v>60</v>
      </c>
      <c r="P71" s="3">
        <v>60</v>
      </c>
    </row>
    <row r="72" spans="1:16" x14ac:dyDescent="0.3">
      <c r="A72" s="3" t="s">
        <v>260</v>
      </c>
      <c r="B72" s="4" t="s">
        <v>261</v>
      </c>
      <c r="C72" s="3" t="s">
        <v>108</v>
      </c>
      <c r="D72" s="3" t="s">
        <v>18</v>
      </c>
      <c r="E72" s="3" t="s">
        <v>118</v>
      </c>
      <c r="F72" s="3" t="s">
        <v>30</v>
      </c>
      <c r="G72" s="3" t="s">
        <v>21</v>
      </c>
      <c r="H72" s="3" t="s">
        <v>101</v>
      </c>
      <c r="I72" s="3" t="s">
        <v>38</v>
      </c>
      <c r="J72" s="3" t="s">
        <v>102</v>
      </c>
      <c r="K72" s="3">
        <v>3</v>
      </c>
      <c r="L72" s="3">
        <v>40</v>
      </c>
      <c r="M72" s="3">
        <v>89</v>
      </c>
      <c r="N72" s="3">
        <v>267</v>
      </c>
      <c r="O72" s="3">
        <v>120</v>
      </c>
      <c r="P72" s="3">
        <v>147</v>
      </c>
    </row>
    <row r="73" spans="1:16" x14ac:dyDescent="0.3">
      <c r="A73" s="3" t="s">
        <v>262</v>
      </c>
      <c r="B73" s="4" t="s">
        <v>263</v>
      </c>
      <c r="C73" s="3" t="s">
        <v>27</v>
      </c>
      <c r="D73" s="3" t="s">
        <v>28</v>
      </c>
      <c r="E73" s="3" t="s">
        <v>156</v>
      </c>
      <c r="F73" s="3" t="s">
        <v>130</v>
      </c>
      <c r="G73" s="3" t="s">
        <v>31</v>
      </c>
      <c r="H73" s="3" t="s">
        <v>79</v>
      </c>
      <c r="I73" s="3" t="s">
        <v>80</v>
      </c>
      <c r="J73" s="3" t="s">
        <v>81</v>
      </c>
      <c r="K73" s="3">
        <v>1</v>
      </c>
      <c r="L73" s="3">
        <v>20</v>
      </c>
      <c r="M73" s="3">
        <v>60</v>
      </c>
      <c r="N73" s="3">
        <v>60</v>
      </c>
      <c r="O73" s="3">
        <v>20</v>
      </c>
      <c r="P73" s="3">
        <v>40</v>
      </c>
    </row>
    <row r="74" spans="1:16" x14ac:dyDescent="0.3">
      <c r="A74" s="3" t="s">
        <v>264</v>
      </c>
      <c r="B74" s="4" t="s">
        <v>265</v>
      </c>
      <c r="C74" s="3" t="s">
        <v>27</v>
      </c>
      <c r="D74" s="3" t="s">
        <v>28</v>
      </c>
      <c r="E74" s="3" t="s">
        <v>44</v>
      </c>
      <c r="F74" s="3" t="s">
        <v>130</v>
      </c>
      <c r="G74" s="3" t="s">
        <v>21</v>
      </c>
      <c r="H74" s="3" t="s">
        <v>55</v>
      </c>
      <c r="I74" s="3" t="s">
        <v>38</v>
      </c>
      <c r="J74" s="3" t="s">
        <v>56</v>
      </c>
      <c r="K74" s="3">
        <v>1</v>
      </c>
      <c r="L74" s="3">
        <v>30</v>
      </c>
      <c r="M74" s="3">
        <v>75</v>
      </c>
      <c r="N74" s="3">
        <v>75</v>
      </c>
      <c r="O74" s="3">
        <v>30</v>
      </c>
      <c r="P74" s="3">
        <v>45</v>
      </c>
    </row>
    <row r="75" spans="1:16" x14ac:dyDescent="0.3">
      <c r="A75" s="3" t="s">
        <v>266</v>
      </c>
      <c r="B75" s="4" t="s">
        <v>267</v>
      </c>
      <c r="C75" s="3" t="s">
        <v>65</v>
      </c>
      <c r="D75" s="3" t="s">
        <v>43</v>
      </c>
      <c r="E75" s="3" t="s">
        <v>268</v>
      </c>
      <c r="F75" s="3" t="s">
        <v>20</v>
      </c>
      <c r="G75" s="3" t="s">
        <v>45</v>
      </c>
      <c r="H75" s="3" t="s">
        <v>46</v>
      </c>
      <c r="I75" s="3" t="s">
        <v>23</v>
      </c>
      <c r="J75" s="3" t="s">
        <v>47</v>
      </c>
      <c r="K75" s="3">
        <v>1</v>
      </c>
      <c r="L75" s="3">
        <v>150</v>
      </c>
      <c r="M75" s="3">
        <v>250</v>
      </c>
      <c r="N75" s="3">
        <v>250</v>
      </c>
      <c r="O75" s="3">
        <v>150</v>
      </c>
      <c r="P75" s="3">
        <v>100</v>
      </c>
    </row>
    <row r="76" spans="1:16" x14ac:dyDescent="0.3">
      <c r="A76" s="3" t="s">
        <v>269</v>
      </c>
      <c r="B76" s="4" t="s">
        <v>270</v>
      </c>
      <c r="C76" s="3" t="s">
        <v>65</v>
      </c>
      <c r="D76" s="3" t="s">
        <v>43</v>
      </c>
      <c r="E76" s="3" t="s">
        <v>271</v>
      </c>
      <c r="F76" s="3" t="s">
        <v>20</v>
      </c>
      <c r="G76" s="3" t="s">
        <v>45</v>
      </c>
      <c r="H76" s="3" t="s">
        <v>46</v>
      </c>
      <c r="I76" s="3" t="s">
        <v>23</v>
      </c>
      <c r="J76" s="3" t="s">
        <v>47</v>
      </c>
      <c r="K76" s="3">
        <v>3</v>
      </c>
      <c r="L76" s="3">
        <v>150</v>
      </c>
      <c r="M76" s="3">
        <v>250</v>
      </c>
      <c r="N76" s="3">
        <v>750</v>
      </c>
      <c r="O76" s="3">
        <v>450</v>
      </c>
      <c r="P76" s="3">
        <v>300</v>
      </c>
    </row>
    <row r="77" spans="1:16" x14ac:dyDescent="0.3">
      <c r="A77" s="3" t="s">
        <v>272</v>
      </c>
      <c r="B77" s="4" t="s">
        <v>273</v>
      </c>
      <c r="C77" s="3" t="s">
        <v>69</v>
      </c>
      <c r="D77" s="3" t="s">
        <v>70</v>
      </c>
      <c r="E77" s="3" t="s">
        <v>50</v>
      </c>
      <c r="F77" s="3" t="s">
        <v>20</v>
      </c>
      <c r="G77" s="3" t="s">
        <v>31</v>
      </c>
      <c r="H77" s="3" t="s">
        <v>125</v>
      </c>
      <c r="I77" s="3" t="s">
        <v>80</v>
      </c>
      <c r="J77" s="3" t="s">
        <v>126</v>
      </c>
      <c r="K77" s="3">
        <v>1</v>
      </c>
      <c r="L77" s="3">
        <v>25</v>
      </c>
      <c r="M77" s="3">
        <v>55</v>
      </c>
      <c r="N77" s="3">
        <v>55</v>
      </c>
      <c r="O77" s="3">
        <v>25</v>
      </c>
      <c r="P77" s="3">
        <v>30</v>
      </c>
    </row>
    <row r="78" spans="1:16" x14ac:dyDescent="0.3">
      <c r="A78" s="3" t="s">
        <v>274</v>
      </c>
      <c r="B78" s="4" t="s">
        <v>35</v>
      </c>
      <c r="C78" s="3" t="s">
        <v>17</v>
      </c>
      <c r="D78" s="3" t="s">
        <v>18</v>
      </c>
      <c r="E78" s="3" t="s">
        <v>227</v>
      </c>
      <c r="F78" s="3" t="s">
        <v>30</v>
      </c>
      <c r="G78" s="3" t="s">
        <v>21</v>
      </c>
      <c r="H78" s="3" t="s">
        <v>90</v>
      </c>
      <c r="I78" s="3" t="s">
        <v>61</v>
      </c>
      <c r="J78" s="3" t="s">
        <v>91</v>
      </c>
      <c r="K78" s="3">
        <v>3</v>
      </c>
      <c r="L78" s="3">
        <v>15</v>
      </c>
      <c r="M78" s="3">
        <v>45</v>
      </c>
      <c r="N78" s="3">
        <v>135</v>
      </c>
      <c r="O78" s="3">
        <v>45</v>
      </c>
      <c r="P78" s="3">
        <v>90</v>
      </c>
    </row>
    <row r="79" spans="1:16" x14ac:dyDescent="0.3">
      <c r="A79" s="3" t="s">
        <v>275</v>
      </c>
      <c r="B79" s="4" t="s">
        <v>73</v>
      </c>
      <c r="C79" s="3" t="s">
        <v>69</v>
      </c>
      <c r="D79" s="3" t="s">
        <v>70</v>
      </c>
      <c r="E79" s="3" t="s">
        <v>147</v>
      </c>
      <c r="F79" s="3" t="s">
        <v>20</v>
      </c>
      <c r="G79" s="3" t="s">
        <v>21</v>
      </c>
      <c r="H79" s="3" t="s">
        <v>22</v>
      </c>
      <c r="I79" s="3" t="s">
        <v>23</v>
      </c>
      <c r="J79" s="3" t="s">
        <v>24</v>
      </c>
      <c r="K79" s="3">
        <v>3</v>
      </c>
      <c r="L79" s="3">
        <v>50</v>
      </c>
      <c r="M79" s="3">
        <v>99</v>
      </c>
      <c r="N79" s="3">
        <v>297</v>
      </c>
      <c r="O79" s="3">
        <v>150</v>
      </c>
      <c r="P79" s="3">
        <v>147</v>
      </c>
    </row>
    <row r="80" spans="1:16" x14ac:dyDescent="0.3">
      <c r="A80" s="3" t="s">
        <v>276</v>
      </c>
      <c r="B80" s="4" t="s">
        <v>277</v>
      </c>
      <c r="C80" s="3" t="s">
        <v>42</v>
      </c>
      <c r="D80" s="3" t="s">
        <v>43</v>
      </c>
      <c r="E80" s="3" t="s">
        <v>278</v>
      </c>
      <c r="F80" s="3" t="s">
        <v>20</v>
      </c>
      <c r="G80" s="3" t="s">
        <v>21</v>
      </c>
      <c r="H80" s="3" t="s">
        <v>46</v>
      </c>
      <c r="I80" s="3" t="s">
        <v>23</v>
      </c>
      <c r="J80" s="3" t="s">
        <v>47</v>
      </c>
      <c r="K80" s="3">
        <v>1</v>
      </c>
      <c r="L80" s="3">
        <v>150</v>
      </c>
      <c r="M80" s="3">
        <v>250</v>
      </c>
      <c r="N80" s="3">
        <v>250</v>
      </c>
      <c r="O80" s="3">
        <v>150</v>
      </c>
      <c r="P80" s="3">
        <v>100</v>
      </c>
    </row>
    <row r="81" spans="1:16" x14ac:dyDescent="0.3">
      <c r="A81" s="3" t="s">
        <v>279</v>
      </c>
      <c r="B81" s="4" t="s">
        <v>160</v>
      </c>
      <c r="C81" s="3" t="s">
        <v>42</v>
      </c>
      <c r="D81" s="3" t="s">
        <v>43</v>
      </c>
      <c r="E81" s="3" t="s">
        <v>112</v>
      </c>
      <c r="F81" s="3" t="s">
        <v>20</v>
      </c>
      <c r="G81" s="3" t="s">
        <v>31</v>
      </c>
      <c r="H81" s="3" t="s">
        <v>32</v>
      </c>
      <c r="I81" s="3" t="s">
        <v>23</v>
      </c>
      <c r="J81" s="3" t="s">
        <v>33</v>
      </c>
      <c r="K81" s="3">
        <v>3</v>
      </c>
      <c r="L81" s="3">
        <v>800</v>
      </c>
      <c r="M81" s="3">
        <v>1200</v>
      </c>
      <c r="N81" s="3">
        <v>3600</v>
      </c>
      <c r="O81" s="3">
        <v>2400</v>
      </c>
      <c r="P81" s="3">
        <v>1200</v>
      </c>
    </row>
    <row r="82" spans="1:16" x14ac:dyDescent="0.3">
      <c r="A82" s="3" t="s">
        <v>280</v>
      </c>
      <c r="B82" s="4" t="s">
        <v>281</v>
      </c>
      <c r="C82" s="3" t="s">
        <v>69</v>
      </c>
      <c r="D82" s="3" t="s">
        <v>70</v>
      </c>
      <c r="E82" s="3" t="s">
        <v>282</v>
      </c>
      <c r="F82" s="3" t="s">
        <v>20</v>
      </c>
      <c r="G82" s="3" t="s">
        <v>45</v>
      </c>
      <c r="H82" s="3" t="s">
        <v>60</v>
      </c>
      <c r="I82" s="3" t="s">
        <v>61</v>
      </c>
      <c r="J82" s="3" t="s">
        <v>62</v>
      </c>
      <c r="K82" s="3">
        <v>3</v>
      </c>
      <c r="L82" s="3">
        <v>25</v>
      </c>
      <c r="M82" s="3">
        <v>69</v>
      </c>
      <c r="N82" s="3">
        <v>207</v>
      </c>
      <c r="O82" s="3">
        <v>75</v>
      </c>
      <c r="P82" s="3">
        <v>132</v>
      </c>
    </row>
    <row r="83" spans="1:16" x14ac:dyDescent="0.3">
      <c r="A83" s="3" t="s">
        <v>283</v>
      </c>
      <c r="B83" s="4" t="s">
        <v>284</v>
      </c>
      <c r="C83" s="3" t="s">
        <v>77</v>
      </c>
      <c r="D83" s="3" t="s">
        <v>70</v>
      </c>
      <c r="E83" s="3" t="s">
        <v>285</v>
      </c>
      <c r="F83" s="3" t="s">
        <v>20</v>
      </c>
      <c r="G83" s="3" t="s">
        <v>45</v>
      </c>
      <c r="H83" s="3" t="s">
        <v>125</v>
      </c>
      <c r="I83" s="3" t="s">
        <v>80</v>
      </c>
      <c r="J83" s="3" t="s">
        <v>126</v>
      </c>
      <c r="K83" s="3">
        <v>1</v>
      </c>
      <c r="L83" s="3">
        <v>25</v>
      </c>
      <c r="M83" s="3">
        <v>55</v>
      </c>
      <c r="N83" s="3">
        <v>55</v>
      </c>
      <c r="O83" s="3">
        <v>25</v>
      </c>
      <c r="P83" s="3">
        <v>30</v>
      </c>
    </row>
    <row r="84" spans="1:16" x14ac:dyDescent="0.3">
      <c r="A84" s="3" t="s">
        <v>286</v>
      </c>
      <c r="B84" s="4" t="s">
        <v>287</v>
      </c>
      <c r="C84" s="3" t="s">
        <v>17</v>
      </c>
      <c r="D84" s="3" t="s">
        <v>18</v>
      </c>
      <c r="E84" s="3" t="s">
        <v>288</v>
      </c>
      <c r="F84" s="3" t="s">
        <v>20</v>
      </c>
      <c r="G84" s="3" t="s">
        <v>31</v>
      </c>
      <c r="H84" s="3" t="s">
        <v>22</v>
      </c>
      <c r="I84" s="3" t="s">
        <v>23</v>
      </c>
      <c r="J84" s="3" t="s">
        <v>24</v>
      </c>
      <c r="K84" s="3">
        <v>1</v>
      </c>
      <c r="L84" s="3">
        <v>50</v>
      </c>
      <c r="M84" s="3">
        <v>99</v>
      </c>
      <c r="N84" s="3">
        <v>99</v>
      </c>
      <c r="O84" s="3">
        <v>50</v>
      </c>
      <c r="P84" s="3">
        <v>49</v>
      </c>
    </row>
    <row r="85" spans="1:16" x14ac:dyDescent="0.3">
      <c r="A85" s="3" t="s">
        <v>289</v>
      </c>
      <c r="B85" s="4" t="s">
        <v>290</v>
      </c>
      <c r="C85" s="3" t="s">
        <v>77</v>
      </c>
      <c r="D85" s="3" t="s">
        <v>70</v>
      </c>
      <c r="E85" s="3" t="s">
        <v>291</v>
      </c>
      <c r="F85" s="3" t="s">
        <v>20</v>
      </c>
      <c r="G85" s="3" t="s">
        <v>31</v>
      </c>
      <c r="H85" s="3" t="s">
        <v>101</v>
      </c>
      <c r="I85" s="3" t="s">
        <v>38</v>
      </c>
      <c r="J85" s="3" t="s">
        <v>102</v>
      </c>
      <c r="K85" s="3">
        <v>2</v>
      </c>
      <c r="L85" s="3">
        <v>40</v>
      </c>
      <c r="M85" s="3">
        <v>89</v>
      </c>
      <c r="N85" s="3">
        <v>178</v>
      </c>
      <c r="O85" s="3">
        <v>80</v>
      </c>
      <c r="P85" s="3">
        <v>98</v>
      </c>
    </row>
    <row r="86" spans="1:16" x14ac:dyDescent="0.3">
      <c r="A86" s="3" t="s">
        <v>292</v>
      </c>
      <c r="B86" s="4" t="s">
        <v>293</v>
      </c>
      <c r="C86" s="3" t="s">
        <v>65</v>
      </c>
      <c r="D86" s="3" t="s">
        <v>43</v>
      </c>
      <c r="E86" s="3" t="s">
        <v>294</v>
      </c>
      <c r="F86" s="3" t="s">
        <v>30</v>
      </c>
      <c r="G86" s="3" t="s">
        <v>45</v>
      </c>
      <c r="H86" s="3" t="s">
        <v>101</v>
      </c>
      <c r="I86" s="3" t="s">
        <v>38</v>
      </c>
      <c r="J86" s="3" t="s">
        <v>102</v>
      </c>
      <c r="K86" s="3">
        <v>1</v>
      </c>
      <c r="L86" s="3">
        <v>40</v>
      </c>
      <c r="M86" s="3">
        <v>89</v>
      </c>
      <c r="N86" s="3">
        <v>89</v>
      </c>
      <c r="O86" s="3">
        <v>40</v>
      </c>
      <c r="P86" s="3">
        <v>49</v>
      </c>
    </row>
    <row r="87" spans="1:16" x14ac:dyDescent="0.3">
      <c r="A87" s="3" t="s">
        <v>295</v>
      </c>
      <c r="B87" s="4" t="s">
        <v>218</v>
      </c>
      <c r="C87" s="3" t="s">
        <v>27</v>
      </c>
      <c r="D87" s="3" t="s">
        <v>28</v>
      </c>
      <c r="E87" s="3" t="s">
        <v>296</v>
      </c>
      <c r="F87" s="3" t="s">
        <v>130</v>
      </c>
      <c r="G87" s="3" t="s">
        <v>21</v>
      </c>
      <c r="H87" s="3" t="s">
        <v>46</v>
      </c>
      <c r="I87" s="3" t="s">
        <v>23</v>
      </c>
      <c r="J87" s="3" t="s">
        <v>47</v>
      </c>
      <c r="K87" s="3">
        <v>4</v>
      </c>
      <c r="L87" s="3">
        <v>150</v>
      </c>
      <c r="M87" s="3">
        <v>250</v>
      </c>
      <c r="N87" s="3">
        <v>1000</v>
      </c>
      <c r="O87" s="3">
        <v>600</v>
      </c>
      <c r="P87" s="3">
        <v>400</v>
      </c>
    </row>
    <row r="88" spans="1:16" x14ac:dyDescent="0.3">
      <c r="A88" s="3" t="s">
        <v>297</v>
      </c>
      <c r="B88" s="4" t="s">
        <v>298</v>
      </c>
      <c r="C88" s="3" t="s">
        <v>42</v>
      </c>
      <c r="D88" s="3" t="s">
        <v>43</v>
      </c>
      <c r="E88" s="3" t="s">
        <v>299</v>
      </c>
      <c r="F88" s="3" t="s">
        <v>30</v>
      </c>
      <c r="G88" s="3" t="s">
        <v>31</v>
      </c>
      <c r="H88" s="3" t="s">
        <v>173</v>
      </c>
      <c r="I88" s="3" t="s">
        <v>61</v>
      </c>
      <c r="J88" s="3" t="s">
        <v>174</v>
      </c>
      <c r="K88" s="3">
        <v>2</v>
      </c>
      <c r="L88" s="3">
        <v>35</v>
      </c>
      <c r="M88" s="3">
        <v>95</v>
      </c>
      <c r="N88" s="3">
        <v>190</v>
      </c>
      <c r="O88" s="3">
        <v>70</v>
      </c>
      <c r="P88" s="3">
        <v>120</v>
      </c>
    </row>
    <row r="89" spans="1:16" x14ac:dyDescent="0.3">
      <c r="A89" s="3" t="s">
        <v>300</v>
      </c>
      <c r="B89" s="4" t="s">
        <v>301</v>
      </c>
      <c r="C89" s="3" t="s">
        <v>27</v>
      </c>
      <c r="D89" s="3" t="s">
        <v>28</v>
      </c>
      <c r="E89" s="3" t="s">
        <v>302</v>
      </c>
      <c r="F89" s="3" t="s">
        <v>30</v>
      </c>
      <c r="G89" s="3" t="s">
        <v>21</v>
      </c>
      <c r="H89" s="3" t="s">
        <v>85</v>
      </c>
      <c r="I89" s="3" t="s">
        <v>80</v>
      </c>
      <c r="J89" s="3" t="s">
        <v>86</v>
      </c>
      <c r="K89" s="3">
        <v>5</v>
      </c>
      <c r="L89" s="3">
        <v>45</v>
      </c>
      <c r="M89" s="3">
        <v>110</v>
      </c>
      <c r="N89" s="3">
        <v>550</v>
      </c>
      <c r="O89" s="3">
        <v>225</v>
      </c>
      <c r="P89" s="3">
        <v>325</v>
      </c>
    </row>
    <row r="90" spans="1:16" x14ac:dyDescent="0.3">
      <c r="A90" s="3" t="s">
        <v>303</v>
      </c>
      <c r="B90" s="4" t="s">
        <v>277</v>
      </c>
      <c r="C90" s="3" t="s">
        <v>77</v>
      </c>
      <c r="D90" s="3" t="s">
        <v>70</v>
      </c>
      <c r="E90" s="3" t="s">
        <v>199</v>
      </c>
      <c r="F90" s="3" t="s">
        <v>20</v>
      </c>
      <c r="G90" s="3" t="s">
        <v>21</v>
      </c>
      <c r="H90" s="3" t="s">
        <v>60</v>
      </c>
      <c r="I90" s="3" t="s">
        <v>61</v>
      </c>
      <c r="J90" s="3" t="s">
        <v>62</v>
      </c>
      <c r="K90" s="3">
        <v>1</v>
      </c>
      <c r="L90" s="3">
        <v>25</v>
      </c>
      <c r="M90" s="3">
        <v>69</v>
      </c>
      <c r="N90" s="3">
        <v>69</v>
      </c>
      <c r="O90" s="3">
        <v>25</v>
      </c>
      <c r="P90" s="3">
        <v>44</v>
      </c>
    </row>
    <row r="91" spans="1:16" x14ac:dyDescent="0.3">
      <c r="A91" s="3" t="s">
        <v>304</v>
      </c>
      <c r="B91" s="4" t="s">
        <v>155</v>
      </c>
      <c r="C91" s="3" t="s">
        <v>77</v>
      </c>
      <c r="D91" s="3" t="s">
        <v>70</v>
      </c>
      <c r="E91" s="3" t="s">
        <v>305</v>
      </c>
      <c r="F91" s="3" t="s">
        <v>20</v>
      </c>
      <c r="G91" s="3" t="s">
        <v>21</v>
      </c>
      <c r="H91" s="3" t="s">
        <v>125</v>
      </c>
      <c r="I91" s="3" t="s">
        <v>80</v>
      </c>
      <c r="J91" s="3" t="s">
        <v>126</v>
      </c>
      <c r="K91" s="3">
        <v>1</v>
      </c>
      <c r="L91" s="3">
        <v>25</v>
      </c>
      <c r="M91" s="3">
        <v>55</v>
      </c>
      <c r="N91" s="3">
        <v>55</v>
      </c>
      <c r="O91" s="3">
        <v>25</v>
      </c>
      <c r="P91" s="3">
        <v>30</v>
      </c>
    </row>
    <row r="92" spans="1:16" x14ac:dyDescent="0.3">
      <c r="A92" s="3" t="s">
        <v>306</v>
      </c>
      <c r="B92" s="4" t="s">
        <v>307</v>
      </c>
      <c r="C92" s="3" t="s">
        <v>53</v>
      </c>
      <c r="D92" s="3" t="s">
        <v>28</v>
      </c>
      <c r="E92" s="3" t="s">
        <v>167</v>
      </c>
      <c r="F92" s="3" t="s">
        <v>30</v>
      </c>
      <c r="G92" s="3" t="s">
        <v>31</v>
      </c>
      <c r="H92" s="3" t="s">
        <v>22</v>
      </c>
      <c r="I92" s="3" t="s">
        <v>23</v>
      </c>
      <c r="J92" s="3" t="s">
        <v>24</v>
      </c>
      <c r="K92" s="3">
        <v>1</v>
      </c>
      <c r="L92" s="3">
        <v>50</v>
      </c>
      <c r="M92" s="3">
        <v>99</v>
      </c>
      <c r="N92" s="3">
        <v>99</v>
      </c>
      <c r="O92" s="3">
        <v>50</v>
      </c>
      <c r="P92" s="3">
        <v>49</v>
      </c>
    </row>
    <row r="93" spans="1:16" x14ac:dyDescent="0.3">
      <c r="A93" s="3" t="s">
        <v>308</v>
      </c>
      <c r="B93" s="4" t="s">
        <v>309</v>
      </c>
      <c r="C93" s="3" t="s">
        <v>69</v>
      </c>
      <c r="D93" s="3" t="s">
        <v>70</v>
      </c>
      <c r="E93" s="3" t="s">
        <v>310</v>
      </c>
      <c r="F93" s="3" t="s">
        <v>30</v>
      </c>
      <c r="G93" s="3" t="s">
        <v>21</v>
      </c>
      <c r="H93" s="3" t="s">
        <v>85</v>
      </c>
      <c r="I93" s="3" t="s">
        <v>80</v>
      </c>
      <c r="J93" s="3" t="s">
        <v>86</v>
      </c>
      <c r="K93" s="3">
        <v>1</v>
      </c>
      <c r="L93" s="3">
        <v>45</v>
      </c>
      <c r="M93" s="3">
        <v>110</v>
      </c>
      <c r="N93" s="3">
        <v>110</v>
      </c>
      <c r="O93" s="3">
        <v>45</v>
      </c>
      <c r="P93" s="3">
        <v>65</v>
      </c>
    </row>
    <row r="94" spans="1:16" x14ac:dyDescent="0.3">
      <c r="A94" s="3" t="s">
        <v>311</v>
      </c>
      <c r="B94" s="4" t="s">
        <v>312</v>
      </c>
      <c r="C94" s="3" t="s">
        <v>17</v>
      </c>
      <c r="D94" s="3" t="s">
        <v>18</v>
      </c>
      <c r="E94" s="3" t="s">
        <v>313</v>
      </c>
      <c r="F94" s="3" t="s">
        <v>30</v>
      </c>
      <c r="G94" s="3" t="s">
        <v>45</v>
      </c>
      <c r="H94" s="3" t="s">
        <v>22</v>
      </c>
      <c r="I94" s="3" t="s">
        <v>23</v>
      </c>
      <c r="J94" s="3" t="s">
        <v>24</v>
      </c>
      <c r="K94" s="3">
        <v>1</v>
      </c>
      <c r="L94" s="3">
        <v>50</v>
      </c>
      <c r="M94" s="3">
        <v>99</v>
      </c>
      <c r="N94" s="3">
        <v>99</v>
      </c>
      <c r="O94" s="3">
        <v>50</v>
      </c>
      <c r="P94" s="3">
        <v>49</v>
      </c>
    </row>
    <row r="95" spans="1:16" x14ac:dyDescent="0.3">
      <c r="A95" s="3" t="s">
        <v>314</v>
      </c>
      <c r="B95" s="4" t="s">
        <v>315</v>
      </c>
      <c r="C95" s="3" t="s">
        <v>108</v>
      </c>
      <c r="D95" s="3" t="s">
        <v>18</v>
      </c>
      <c r="E95" s="3" t="s">
        <v>316</v>
      </c>
      <c r="F95" s="3" t="s">
        <v>30</v>
      </c>
      <c r="G95" s="3" t="s">
        <v>31</v>
      </c>
      <c r="H95" s="3" t="s">
        <v>37</v>
      </c>
      <c r="I95" s="3" t="s">
        <v>38</v>
      </c>
      <c r="J95" s="3" t="s">
        <v>39</v>
      </c>
      <c r="K95" s="3">
        <v>1</v>
      </c>
      <c r="L95" s="3">
        <v>60</v>
      </c>
      <c r="M95" s="3">
        <v>120</v>
      </c>
      <c r="N95" s="3">
        <v>120</v>
      </c>
      <c r="O95" s="3">
        <v>60</v>
      </c>
      <c r="P95" s="3">
        <v>60</v>
      </c>
    </row>
    <row r="96" spans="1:16" x14ac:dyDescent="0.3">
      <c r="A96" s="3" t="s">
        <v>317</v>
      </c>
      <c r="B96" s="4" t="s">
        <v>318</v>
      </c>
      <c r="C96" s="3" t="s">
        <v>27</v>
      </c>
      <c r="D96" s="3" t="s">
        <v>28</v>
      </c>
      <c r="E96" s="3" t="s">
        <v>319</v>
      </c>
      <c r="F96" s="3" t="s">
        <v>30</v>
      </c>
      <c r="G96" s="3" t="s">
        <v>21</v>
      </c>
      <c r="H96" s="3" t="s">
        <v>46</v>
      </c>
      <c r="I96" s="3" t="s">
        <v>23</v>
      </c>
      <c r="J96" s="3" t="s">
        <v>47</v>
      </c>
      <c r="K96" s="3">
        <v>3</v>
      </c>
      <c r="L96" s="3">
        <v>150</v>
      </c>
      <c r="M96" s="3">
        <v>250</v>
      </c>
      <c r="N96" s="3">
        <v>750</v>
      </c>
      <c r="O96" s="3">
        <v>450</v>
      </c>
      <c r="P96" s="3">
        <v>300</v>
      </c>
    </row>
    <row r="97" spans="1:16" x14ac:dyDescent="0.3">
      <c r="A97" s="3" t="s">
        <v>320</v>
      </c>
      <c r="B97" s="4" t="s">
        <v>143</v>
      </c>
      <c r="C97" s="3" t="s">
        <v>65</v>
      </c>
      <c r="D97" s="3" t="s">
        <v>43</v>
      </c>
      <c r="E97" s="3" t="s">
        <v>321</v>
      </c>
      <c r="F97" s="3" t="s">
        <v>30</v>
      </c>
      <c r="G97" s="3" t="s">
        <v>45</v>
      </c>
      <c r="H97" s="3" t="s">
        <v>32</v>
      </c>
      <c r="I97" s="3" t="s">
        <v>23</v>
      </c>
      <c r="J97" s="3" t="s">
        <v>33</v>
      </c>
      <c r="K97" s="3">
        <v>1</v>
      </c>
      <c r="L97" s="3">
        <v>800</v>
      </c>
      <c r="M97" s="3">
        <v>1200</v>
      </c>
      <c r="N97" s="3">
        <v>1200</v>
      </c>
      <c r="O97" s="3">
        <v>800</v>
      </c>
      <c r="P97" s="3">
        <v>400</v>
      </c>
    </row>
    <row r="98" spans="1:16" x14ac:dyDescent="0.3">
      <c r="A98" s="3" t="s">
        <v>322</v>
      </c>
      <c r="B98" s="4" t="s">
        <v>323</v>
      </c>
      <c r="C98" s="3" t="s">
        <v>108</v>
      </c>
      <c r="D98" s="3" t="s">
        <v>18</v>
      </c>
      <c r="E98" s="3" t="s">
        <v>324</v>
      </c>
      <c r="F98" s="3" t="s">
        <v>20</v>
      </c>
      <c r="G98" s="3" t="s">
        <v>31</v>
      </c>
      <c r="H98" s="3" t="s">
        <v>90</v>
      </c>
      <c r="I98" s="3" t="s">
        <v>61</v>
      </c>
      <c r="J98" s="3" t="s">
        <v>91</v>
      </c>
      <c r="K98" s="3">
        <v>4</v>
      </c>
      <c r="L98" s="3">
        <v>15</v>
      </c>
      <c r="M98" s="3">
        <v>45</v>
      </c>
      <c r="N98" s="3">
        <v>180</v>
      </c>
      <c r="O98" s="3">
        <v>60</v>
      </c>
      <c r="P98" s="3">
        <v>120</v>
      </c>
    </row>
    <row r="99" spans="1:16" x14ac:dyDescent="0.3">
      <c r="A99" s="3" t="s">
        <v>325</v>
      </c>
      <c r="B99" s="4" t="s">
        <v>326</v>
      </c>
      <c r="C99" s="3" t="s">
        <v>27</v>
      </c>
      <c r="D99" s="3" t="s">
        <v>28</v>
      </c>
      <c r="E99" s="3" t="s">
        <v>259</v>
      </c>
      <c r="F99" s="3" t="s">
        <v>20</v>
      </c>
      <c r="G99" s="3" t="s">
        <v>31</v>
      </c>
      <c r="H99" s="3" t="s">
        <v>125</v>
      </c>
      <c r="I99" s="3" t="s">
        <v>80</v>
      </c>
      <c r="J99" s="3" t="s">
        <v>126</v>
      </c>
      <c r="K99" s="3">
        <v>1</v>
      </c>
      <c r="L99" s="3">
        <v>25</v>
      </c>
      <c r="M99" s="3">
        <v>55</v>
      </c>
      <c r="N99" s="3">
        <v>55</v>
      </c>
      <c r="O99" s="3">
        <v>25</v>
      </c>
      <c r="P99" s="3">
        <v>30</v>
      </c>
    </row>
    <row r="100" spans="1:16" x14ac:dyDescent="0.3">
      <c r="A100" s="3" t="s">
        <v>327</v>
      </c>
      <c r="B100" s="4" t="s">
        <v>114</v>
      </c>
      <c r="C100" s="3" t="s">
        <v>42</v>
      </c>
      <c r="D100" s="3" t="s">
        <v>43</v>
      </c>
      <c r="E100" s="3" t="s">
        <v>328</v>
      </c>
      <c r="F100" s="3" t="s">
        <v>30</v>
      </c>
      <c r="G100" s="3" t="s">
        <v>21</v>
      </c>
      <c r="H100" s="3" t="s">
        <v>60</v>
      </c>
      <c r="I100" s="3" t="s">
        <v>61</v>
      </c>
      <c r="J100" s="3" t="s">
        <v>62</v>
      </c>
      <c r="K100" s="3">
        <v>2</v>
      </c>
      <c r="L100" s="3">
        <v>25</v>
      </c>
      <c r="M100" s="3">
        <v>69</v>
      </c>
      <c r="N100" s="3">
        <v>138</v>
      </c>
      <c r="O100" s="3">
        <v>50</v>
      </c>
      <c r="P100" s="3">
        <v>88</v>
      </c>
    </row>
    <row r="101" spans="1:16" x14ac:dyDescent="0.3">
      <c r="A101" s="3" t="s">
        <v>329</v>
      </c>
      <c r="B101" s="4" t="s">
        <v>330</v>
      </c>
      <c r="C101" s="3" t="s">
        <v>69</v>
      </c>
      <c r="D101" s="3" t="s">
        <v>70</v>
      </c>
      <c r="E101" s="3" t="s">
        <v>170</v>
      </c>
      <c r="F101" s="3" t="s">
        <v>30</v>
      </c>
      <c r="G101" s="3" t="s">
        <v>31</v>
      </c>
      <c r="H101" s="3" t="s">
        <v>32</v>
      </c>
      <c r="I101" s="3" t="s">
        <v>23</v>
      </c>
      <c r="J101" s="3" t="s">
        <v>33</v>
      </c>
      <c r="K101" s="3">
        <v>1</v>
      </c>
      <c r="L101" s="3">
        <v>800</v>
      </c>
      <c r="M101" s="3">
        <v>1200</v>
      </c>
      <c r="N101" s="3">
        <v>1200</v>
      </c>
      <c r="O101" s="3">
        <v>800</v>
      </c>
      <c r="P101" s="3">
        <v>400</v>
      </c>
    </row>
    <row r="102" spans="1:16" x14ac:dyDescent="0.3">
      <c r="A102" s="3" t="s">
        <v>331</v>
      </c>
      <c r="B102" s="4" t="s">
        <v>332</v>
      </c>
      <c r="C102" s="3" t="s">
        <v>53</v>
      </c>
      <c r="D102" s="3" t="s">
        <v>28</v>
      </c>
      <c r="E102" s="3" t="s">
        <v>333</v>
      </c>
      <c r="F102" s="3" t="s">
        <v>130</v>
      </c>
      <c r="G102" s="3" t="s">
        <v>21</v>
      </c>
      <c r="H102" s="3" t="s">
        <v>125</v>
      </c>
      <c r="I102" s="3" t="s">
        <v>80</v>
      </c>
      <c r="J102" s="3" t="s">
        <v>126</v>
      </c>
      <c r="K102" s="3">
        <v>2</v>
      </c>
      <c r="L102" s="3">
        <v>25</v>
      </c>
      <c r="M102" s="3">
        <v>55</v>
      </c>
      <c r="N102" s="3">
        <v>110</v>
      </c>
      <c r="O102" s="3">
        <v>50</v>
      </c>
      <c r="P102" s="3">
        <v>60</v>
      </c>
    </row>
    <row r="103" spans="1:16" x14ac:dyDescent="0.3">
      <c r="A103" s="3" t="s">
        <v>334</v>
      </c>
      <c r="B103" s="4" t="s">
        <v>335</v>
      </c>
      <c r="C103" s="3" t="s">
        <v>77</v>
      </c>
      <c r="D103" s="3" t="s">
        <v>70</v>
      </c>
      <c r="E103" s="3" t="s">
        <v>336</v>
      </c>
      <c r="F103" s="3" t="s">
        <v>20</v>
      </c>
      <c r="G103" s="3" t="s">
        <v>31</v>
      </c>
      <c r="H103" s="3" t="s">
        <v>37</v>
      </c>
      <c r="I103" s="3" t="s">
        <v>38</v>
      </c>
      <c r="J103" s="3" t="s">
        <v>39</v>
      </c>
      <c r="K103" s="3">
        <v>1</v>
      </c>
      <c r="L103" s="3">
        <v>60</v>
      </c>
      <c r="M103" s="3">
        <v>120</v>
      </c>
      <c r="N103" s="3">
        <v>120</v>
      </c>
      <c r="O103" s="3">
        <v>60</v>
      </c>
      <c r="P103" s="3">
        <v>60</v>
      </c>
    </row>
    <row r="104" spans="1:16" x14ac:dyDescent="0.3">
      <c r="A104" s="3" t="s">
        <v>337</v>
      </c>
      <c r="B104" s="4" t="s">
        <v>338</v>
      </c>
      <c r="C104" s="3" t="s">
        <v>77</v>
      </c>
      <c r="D104" s="3" t="s">
        <v>70</v>
      </c>
      <c r="E104" s="3" t="s">
        <v>339</v>
      </c>
      <c r="F104" s="3" t="s">
        <v>20</v>
      </c>
      <c r="G104" s="3" t="s">
        <v>45</v>
      </c>
      <c r="H104" s="3" t="s">
        <v>90</v>
      </c>
      <c r="I104" s="3" t="s">
        <v>61</v>
      </c>
      <c r="J104" s="3" t="s">
        <v>91</v>
      </c>
      <c r="K104" s="3">
        <v>1</v>
      </c>
      <c r="L104" s="3">
        <v>15</v>
      </c>
      <c r="M104" s="3">
        <v>45</v>
      </c>
      <c r="N104" s="3">
        <v>45</v>
      </c>
      <c r="O104" s="3">
        <v>15</v>
      </c>
      <c r="P104" s="3">
        <v>30</v>
      </c>
    </row>
    <row r="105" spans="1:16" x14ac:dyDescent="0.3">
      <c r="A105" s="3" t="s">
        <v>340</v>
      </c>
      <c r="B105" s="4" t="s">
        <v>235</v>
      </c>
      <c r="C105" s="3" t="s">
        <v>42</v>
      </c>
      <c r="D105" s="3" t="s">
        <v>43</v>
      </c>
      <c r="E105" s="3" t="s">
        <v>158</v>
      </c>
      <c r="F105" s="3" t="s">
        <v>30</v>
      </c>
      <c r="G105" s="3" t="s">
        <v>21</v>
      </c>
      <c r="H105" s="3" t="s">
        <v>46</v>
      </c>
      <c r="I105" s="3" t="s">
        <v>23</v>
      </c>
      <c r="J105" s="3" t="s">
        <v>47</v>
      </c>
      <c r="K105" s="3">
        <v>1</v>
      </c>
      <c r="L105" s="3">
        <v>150</v>
      </c>
      <c r="M105" s="3">
        <v>250</v>
      </c>
      <c r="N105" s="3">
        <v>250</v>
      </c>
      <c r="O105" s="3">
        <v>150</v>
      </c>
      <c r="P105" s="3">
        <v>100</v>
      </c>
    </row>
    <row r="106" spans="1:16" x14ac:dyDescent="0.3">
      <c r="A106" s="3" t="s">
        <v>341</v>
      </c>
      <c r="B106" s="4" t="s">
        <v>342</v>
      </c>
      <c r="C106" s="3" t="s">
        <v>42</v>
      </c>
      <c r="D106" s="3" t="s">
        <v>43</v>
      </c>
      <c r="E106" s="3" t="s">
        <v>343</v>
      </c>
      <c r="F106" s="3" t="s">
        <v>130</v>
      </c>
      <c r="G106" s="3" t="s">
        <v>21</v>
      </c>
      <c r="H106" s="3" t="s">
        <v>85</v>
      </c>
      <c r="I106" s="3" t="s">
        <v>80</v>
      </c>
      <c r="J106" s="3" t="s">
        <v>86</v>
      </c>
      <c r="K106" s="3">
        <v>2</v>
      </c>
      <c r="L106" s="3">
        <v>45</v>
      </c>
      <c r="M106" s="3">
        <v>110</v>
      </c>
      <c r="N106" s="3">
        <v>220</v>
      </c>
      <c r="O106" s="3">
        <v>90</v>
      </c>
      <c r="P106" s="3">
        <v>130</v>
      </c>
    </row>
    <row r="107" spans="1:16" x14ac:dyDescent="0.3">
      <c r="A107" s="3" t="s">
        <v>344</v>
      </c>
      <c r="B107" s="4" t="s">
        <v>345</v>
      </c>
      <c r="C107" s="3" t="s">
        <v>108</v>
      </c>
      <c r="D107" s="3" t="s">
        <v>18</v>
      </c>
      <c r="E107" s="3" t="s">
        <v>346</v>
      </c>
      <c r="F107" s="3" t="s">
        <v>30</v>
      </c>
      <c r="G107" s="3" t="s">
        <v>45</v>
      </c>
      <c r="H107" s="3" t="s">
        <v>37</v>
      </c>
      <c r="I107" s="3" t="s">
        <v>38</v>
      </c>
      <c r="J107" s="3" t="s">
        <v>39</v>
      </c>
      <c r="K107" s="3">
        <v>2</v>
      </c>
      <c r="L107" s="3">
        <v>60</v>
      </c>
      <c r="M107" s="3">
        <v>120</v>
      </c>
      <c r="N107" s="3">
        <v>240</v>
      </c>
      <c r="O107" s="3">
        <v>120</v>
      </c>
      <c r="P107" s="3">
        <v>120</v>
      </c>
    </row>
    <row r="108" spans="1:16" x14ac:dyDescent="0.3">
      <c r="A108" s="3" t="s">
        <v>347</v>
      </c>
      <c r="B108" s="4" t="s">
        <v>348</v>
      </c>
      <c r="C108" s="3" t="s">
        <v>27</v>
      </c>
      <c r="D108" s="3" t="s">
        <v>28</v>
      </c>
      <c r="E108" s="3" t="s">
        <v>316</v>
      </c>
      <c r="F108" s="3" t="s">
        <v>20</v>
      </c>
      <c r="G108" s="3" t="s">
        <v>21</v>
      </c>
      <c r="H108" s="3" t="s">
        <v>46</v>
      </c>
      <c r="I108" s="3" t="s">
        <v>23</v>
      </c>
      <c r="J108" s="3" t="s">
        <v>47</v>
      </c>
      <c r="K108" s="3">
        <v>4</v>
      </c>
      <c r="L108" s="3">
        <v>150</v>
      </c>
      <c r="M108" s="3">
        <v>250</v>
      </c>
      <c r="N108" s="3">
        <v>1000</v>
      </c>
      <c r="O108" s="3">
        <v>600</v>
      </c>
      <c r="P108" s="3">
        <v>400</v>
      </c>
    </row>
    <row r="109" spans="1:16" x14ac:dyDescent="0.3">
      <c r="A109" s="3" t="s">
        <v>349</v>
      </c>
      <c r="B109" s="4" t="s">
        <v>350</v>
      </c>
      <c r="C109" s="3" t="s">
        <v>42</v>
      </c>
      <c r="D109" s="3" t="s">
        <v>43</v>
      </c>
      <c r="E109" s="3" t="s">
        <v>112</v>
      </c>
      <c r="F109" s="3" t="s">
        <v>30</v>
      </c>
      <c r="G109" s="3" t="s">
        <v>31</v>
      </c>
      <c r="H109" s="3" t="s">
        <v>55</v>
      </c>
      <c r="I109" s="3" t="s">
        <v>38</v>
      </c>
      <c r="J109" s="3" t="s">
        <v>56</v>
      </c>
      <c r="K109" s="3">
        <v>1</v>
      </c>
      <c r="L109" s="3">
        <v>30</v>
      </c>
      <c r="M109" s="3">
        <v>75</v>
      </c>
      <c r="N109" s="3">
        <v>75</v>
      </c>
      <c r="O109" s="3">
        <v>30</v>
      </c>
      <c r="P109" s="3">
        <v>45</v>
      </c>
    </row>
    <row r="110" spans="1:16" x14ac:dyDescent="0.3">
      <c r="A110" s="3" t="s">
        <v>351</v>
      </c>
      <c r="B110" s="4" t="s">
        <v>307</v>
      </c>
      <c r="C110" s="3" t="s">
        <v>42</v>
      </c>
      <c r="D110" s="3" t="s">
        <v>43</v>
      </c>
      <c r="E110" s="3" t="s">
        <v>352</v>
      </c>
      <c r="F110" s="3" t="s">
        <v>20</v>
      </c>
      <c r="G110" s="3" t="s">
        <v>21</v>
      </c>
      <c r="H110" s="3" t="s">
        <v>55</v>
      </c>
      <c r="I110" s="3" t="s">
        <v>38</v>
      </c>
      <c r="J110" s="3" t="s">
        <v>56</v>
      </c>
      <c r="K110" s="3">
        <v>1</v>
      </c>
      <c r="L110" s="3">
        <v>30</v>
      </c>
      <c r="M110" s="3">
        <v>75</v>
      </c>
      <c r="N110" s="3">
        <v>75</v>
      </c>
      <c r="O110" s="3">
        <v>30</v>
      </c>
      <c r="P110" s="3">
        <v>45</v>
      </c>
    </row>
    <row r="111" spans="1:16" x14ac:dyDescent="0.3">
      <c r="A111" s="3" t="s">
        <v>353</v>
      </c>
      <c r="B111" s="4" t="s">
        <v>354</v>
      </c>
      <c r="C111" s="3" t="s">
        <v>42</v>
      </c>
      <c r="D111" s="3" t="s">
        <v>43</v>
      </c>
      <c r="E111" s="3" t="s">
        <v>355</v>
      </c>
      <c r="F111" s="3" t="s">
        <v>30</v>
      </c>
      <c r="G111" s="3" t="s">
        <v>45</v>
      </c>
      <c r="H111" s="3" t="s">
        <v>37</v>
      </c>
      <c r="I111" s="3" t="s">
        <v>38</v>
      </c>
      <c r="J111" s="3" t="s">
        <v>39</v>
      </c>
      <c r="K111" s="3">
        <v>1</v>
      </c>
      <c r="L111" s="3">
        <v>60</v>
      </c>
      <c r="M111" s="3">
        <v>120</v>
      </c>
      <c r="N111" s="3">
        <v>120</v>
      </c>
      <c r="O111" s="3">
        <v>60</v>
      </c>
      <c r="P111" s="3">
        <v>60</v>
      </c>
    </row>
    <row r="112" spans="1:16" x14ac:dyDescent="0.3">
      <c r="A112" s="3" t="s">
        <v>356</v>
      </c>
      <c r="B112" s="4" t="s">
        <v>187</v>
      </c>
      <c r="C112" s="3" t="s">
        <v>108</v>
      </c>
      <c r="D112" s="3" t="s">
        <v>18</v>
      </c>
      <c r="E112" s="3" t="s">
        <v>357</v>
      </c>
      <c r="F112" s="3" t="s">
        <v>30</v>
      </c>
      <c r="G112" s="3" t="s">
        <v>31</v>
      </c>
      <c r="H112" s="3" t="s">
        <v>90</v>
      </c>
      <c r="I112" s="3" t="s">
        <v>61</v>
      </c>
      <c r="J112" s="3" t="s">
        <v>91</v>
      </c>
      <c r="K112" s="3">
        <v>2</v>
      </c>
      <c r="L112" s="3">
        <v>15</v>
      </c>
      <c r="M112" s="3">
        <v>45</v>
      </c>
      <c r="N112" s="3">
        <v>90</v>
      </c>
      <c r="O112" s="3">
        <v>30</v>
      </c>
      <c r="P112" s="3">
        <v>60</v>
      </c>
    </row>
    <row r="113" spans="1:16" x14ac:dyDescent="0.3">
      <c r="A113" s="3" t="s">
        <v>358</v>
      </c>
      <c r="B113" s="4" t="s">
        <v>359</v>
      </c>
      <c r="C113" s="3" t="s">
        <v>108</v>
      </c>
      <c r="D113" s="3" t="s">
        <v>18</v>
      </c>
      <c r="E113" s="3" t="s">
        <v>196</v>
      </c>
      <c r="F113" s="3" t="s">
        <v>30</v>
      </c>
      <c r="G113" s="3" t="s">
        <v>45</v>
      </c>
      <c r="H113" s="3" t="s">
        <v>101</v>
      </c>
      <c r="I113" s="3" t="s">
        <v>38</v>
      </c>
      <c r="J113" s="3" t="s">
        <v>102</v>
      </c>
      <c r="K113" s="3">
        <v>1</v>
      </c>
      <c r="L113" s="3">
        <v>40</v>
      </c>
      <c r="M113" s="3">
        <v>89</v>
      </c>
      <c r="N113" s="3">
        <v>89</v>
      </c>
      <c r="O113" s="3">
        <v>40</v>
      </c>
      <c r="P113" s="3">
        <v>49</v>
      </c>
    </row>
    <row r="114" spans="1:16" x14ac:dyDescent="0.3">
      <c r="A114" s="3" t="s">
        <v>360</v>
      </c>
      <c r="B114" s="4" t="s">
        <v>361</v>
      </c>
      <c r="C114" s="3" t="s">
        <v>65</v>
      </c>
      <c r="D114" s="3" t="s">
        <v>43</v>
      </c>
      <c r="E114" s="3" t="s">
        <v>221</v>
      </c>
      <c r="F114" s="3" t="s">
        <v>30</v>
      </c>
      <c r="G114" s="3" t="s">
        <v>21</v>
      </c>
      <c r="H114" s="3" t="s">
        <v>37</v>
      </c>
      <c r="I114" s="3" t="s">
        <v>38</v>
      </c>
      <c r="J114" s="3" t="s">
        <v>39</v>
      </c>
      <c r="K114" s="3">
        <v>1</v>
      </c>
      <c r="L114" s="3">
        <v>60</v>
      </c>
      <c r="M114" s="3">
        <v>120</v>
      </c>
      <c r="N114" s="3">
        <v>120</v>
      </c>
      <c r="O114" s="3">
        <v>60</v>
      </c>
      <c r="P114" s="3">
        <v>60</v>
      </c>
    </row>
    <row r="115" spans="1:16" x14ac:dyDescent="0.3">
      <c r="A115" s="3" t="s">
        <v>362</v>
      </c>
      <c r="B115" s="4" t="s">
        <v>363</v>
      </c>
      <c r="C115" s="3" t="s">
        <v>17</v>
      </c>
      <c r="D115" s="3" t="s">
        <v>18</v>
      </c>
      <c r="E115" s="3" t="s">
        <v>158</v>
      </c>
      <c r="F115" s="3" t="s">
        <v>30</v>
      </c>
      <c r="G115" s="3" t="s">
        <v>31</v>
      </c>
      <c r="H115" s="3" t="s">
        <v>22</v>
      </c>
      <c r="I115" s="3" t="s">
        <v>23</v>
      </c>
      <c r="J115" s="3" t="s">
        <v>24</v>
      </c>
      <c r="K115" s="3">
        <v>1</v>
      </c>
      <c r="L115" s="3">
        <v>50</v>
      </c>
      <c r="M115" s="3">
        <v>99</v>
      </c>
      <c r="N115" s="3">
        <v>99</v>
      </c>
      <c r="O115" s="3">
        <v>50</v>
      </c>
      <c r="P115" s="3">
        <v>49</v>
      </c>
    </row>
    <row r="116" spans="1:16" x14ac:dyDescent="0.3">
      <c r="A116" s="3" t="s">
        <v>364</v>
      </c>
      <c r="B116" s="4" t="s">
        <v>365</v>
      </c>
      <c r="C116" s="3" t="s">
        <v>42</v>
      </c>
      <c r="D116" s="3" t="s">
        <v>43</v>
      </c>
      <c r="E116" s="3" t="s">
        <v>366</v>
      </c>
      <c r="F116" s="3" t="s">
        <v>30</v>
      </c>
      <c r="G116" s="3" t="s">
        <v>21</v>
      </c>
      <c r="H116" s="3" t="s">
        <v>173</v>
      </c>
      <c r="I116" s="3" t="s">
        <v>61</v>
      </c>
      <c r="J116" s="3" t="s">
        <v>174</v>
      </c>
      <c r="K116" s="3">
        <v>3</v>
      </c>
      <c r="L116" s="3">
        <v>35</v>
      </c>
      <c r="M116" s="3">
        <v>95</v>
      </c>
      <c r="N116" s="3">
        <v>285</v>
      </c>
      <c r="O116" s="3">
        <v>105</v>
      </c>
      <c r="P116" s="3">
        <v>180</v>
      </c>
    </row>
    <row r="117" spans="1:16" x14ac:dyDescent="0.3">
      <c r="A117" s="3" t="s">
        <v>367</v>
      </c>
      <c r="B117" s="4" t="s">
        <v>368</v>
      </c>
      <c r="C117" s="3" t="s">
        <v>65</v>
      </c>
      <c r="D117" s="3" t="s">
        <v>43</v>
      </c>
      <c r="E117" s="3" t="s">
        <v>199</v>
      </c>
      <c r="F117" s="3" t="s">
        <v>30</v>
      </c>
      <c r="G117" s="3" t="s">
        <v>45</v>
      </c>
      <c r="H117" s="3" t="s">
        <v>173</v>
      </c>
      <c r="I117" s="3" t="s">
        <v>61</v>
      </c>
      <c r="J117" s="3" t="s">
        <v>174</v>
      </c>
      <c r="K117" s="3">
        <v>1</v>
      </c>
      <c r="L117" s="3">
        <v>35</v>
      </c>
      <c r="M117" s="3">
        <v>95</v>
      </c>
      <c r="N117" s="3">
        <v>95</v>
      </c>
      <c r="O117" s="3">
        <v>35</v>
      </c>
      <c r="P117" s="3">
        <v>60</v>
      </c>
    </row>
    <row r="118" spans="1:16" x14ac:dyDescent="0.3">
      <c r="A118" s="3" t="s">
        <v>369</v>
      </c>
      <c r="B118" s="4" t="s">
        <v>370</v>
      </c>
      <c r="C118" s="3" t="s">
        <v>42</v>
      </c>
      <c r="D118" s="3" t="s">
        <v>43</v>
      </c>
      <c r="E118" s="3" t="s">
        <v>211</v>
      </c>
      <c r="F118" s="3" t="s">
        <v>20</v>
      </c>
      <c r="G118" s="3" t="s">
        <v>21</v>
      </c>
      <c r="H118" s="3" t="s">
        <v>79</v>
      </c>
      <c r="I118" s="3" t="s">
        <v>80</v>
      </c>
      <c r="J118" s="3" t="s">
        <v>81</v>
      </c>
      <c r="K118" s="3">
        <v>1</v>
      </c>
      <c r="L118" s="3">
        <v>20</v>
      </c>
      <c r="M118" s="3">
        <v>60</v>
      </c>
      <c r="N118" s="3">
        <v>60</v>
      </c>
      <c r="O118" s="3">
        <v>20</v>
      </c>
      <c r="P118" s="3">
        <v>40</v>
      </c>
    </row>
    <row r="119" spans="1:16" x14ac:dyDescent="0.3">
      <c r="A119" s="3" t="s">
        <v>371</v>
      </c>
      <c r="B119" s="4" t="s">
        <v>372</v>
      </c>
      <c r="C119" s="3" t="s">
        <v>77</v>
      </c>
      <c r="D119" s="3" t="s">
        <v>70</v>
      </c>
      <c r="E119" s="3" t="s">
        <v>50</v>
      </c>
      <c r="F119" s="3" t="s">
        <v>30</v>
      </c>
      <c r="G119" s="3" t="s">
        <v>31</v>
      </c>
      <c r="H119" s="3" t="s">
        <v>85</v>
      </c>
      <c r="I119" s="3" t="s">
        <v>80</v>
      </c>
      <c r="J119" s="3" t="s">
        <v>86</v>
      </c>
      <c r="K119" s="3">
        <v>1</v>
      </c>
      <c r="L119" s="3">
        <v>45</v>
      </c>
      <c r="M119" s="3">
        <v>110</v>
      </c>
      <c r="N119" s="3">
        <v>110</v>
      </c>
      <c r="O119" s="3">
        <v>45</v>
      </c>
      <c r="P119" s="3">
        <v>65</v>
      </c>
    </row>
    <row r="120" spans="1:16" x14ac:dyDescent="0.3">
      <c r="A120" s="3" t="s">
        <v>373</v>
      </c>
      <c r="B120" s="4" t="s">
        <v>374</v>
      </c>
      <c r="C120" s="3" t="s">
        <v>42</v>
      </c>
      <c r="D120" s="3" t="s">
        <v>43</v>
      </c>
      <c r="E120" s="3" t="s">
        <v>375</v>
      </c>
      <c r="F120" s="3" t="s">
        <v>30</v>
      </c>
      <c r="G120" s="3" t="s">
        <v>21</v>
      </c>
      <c r="H120" s="3" t="s">
        <v>79</v>
      </c>
      <c r="I120" s="3" t="s">
        <v>80</v>
      </c>
      <c r="J120" s="3" t="s">
        <v>81</v>
      </c>
      <c r="K120" s="3">
        <v>1</v>
      </c>
      <c r="L120" s="3">
        <v>20</v>
      </c>
      <c r="M120" s="3">
        <v>60</v>
      </c>
      <c r="N120" s="3">
        <v>60</v>
      </c>
      <c r="O120" s="3">
        <v>20</v>
      </c>
      <c r="P120" s="3">
        <v>40</v>
      </c>
    </row>
    <row r="121" spans="1:16" x14ac:dyDescent="0.3">
      <c r="A121" s="3" t="s">
        <v>376</v>
      </c>
      <c r="B121" s="4" t="s">
        <v>377</v>
      </c>
      <c r="C121" s="3" t="s">
        <v>53</v>
      </c>
      <c r="D121" s="3" t="s">
        <v>28</v>
      </c>
      <c r="E121" s="3" t="s">
        <v>66</v>
      </c>
      <c r="F121" s="3" t="s">
        <v>20</v>
      </c>
      <c r="G121" s="3" t="s">
        <v>21</v>
      </c>
      <c r="H121" s="3" t="s">
        <v>46</v>
      </c>
      <c r="I121" s="3" t="s">
        <v>23</v>
      </c>
      <c r="J121" s="3" t="s">
        <v>47</v>
      </c>
      <c r="K121" s="3">
        <v>1</v>
      </c>
      <c r="L121" s="3">
        <v>150</v>
      </c>
      <c r="M121" s="3">
        <v>250</v>
      </c>
      <c r="N121" s="3">
        <v>250</v>
      </c>
      <c r="O121" s="3">
        <v>150</v>
      </c>
      <c r="P121" s="3">
        <v>100</v>
      </c>
    </row>
    <row r="122" spans="1:16" x14ac:dyDescent="0.3">
      <c r="A122" s="3" t="s">
        <v>378</v>
      </c>
      <c r="B122" s="4" t="s">
        <v>379</v>
      </c>
      <c r="C122" s="3" t="s">
        <v>69</v>
      </c>
      <c r="D122" s="3" t="s">
        <v>70</v>
      </c>
      <c r="E122" s="3" t="s">
        <v>59</v>
      </c>
      <c r="F122" s="3" t="s">
        <v>30</v>
      </c>
      <c r="G122" s="3" t="s">
        <v>31</v>
      </c>
      <c r="H122" s="3" t="s">
        <v>32</v>
      </c>
      <c r="I122" s="3" t="s">
        <v>23</v>
      </c>
      <c r="J122" s="3" t="s">
        <v>33</v>
      </c>
      <c r="K122" s="3">
        <v>1</v>
      </c>
      <c r="L122" s="3">
        <v>800</v>
      </c>
      <c r="M122" s="3">
        <v>1200</v>
      </c>
      <c r="N122" s="3">
        <v>1200</v>
      </c>
      <c r="O122" s="3">
        <v>800</v>
      </c>
      <c r="P122" s="3">
        <v>400</v>
      </c>
    </row>
    <row r="123" spans="1:16" x14ac:dyDescent="0.3">
      <c r="A123" s="3" t="s">
        <v>380</v>
      </c>
      <c r="B123" s="4" t="s">
        <v>93</v>
      </c>
      <c r="C123" s="3" t="s">
        <v>42</v>
      </c>
      <c r="D123" s="3" t="s">
        <v>43</v>
      </c>
      <c r="E123" s="3" t="s">
        <v>381</v>
      </c>
      <c r="F123" s="3" t="s">
        <v>30</v>
      </c>
      <c r="G123" s="3" t="s">
        <v>21</v>
      </c>
      <c r="H123" s="3" t="s">
        <v>55</v>
      </c>
      <c r="I123" s="3" t="s">
        <v>38</v>
      </c>
      <c r="J123" s="3" t="s">
        <v>56</v>
      </c>
      <c r="K123" s="3">
        <v>3</v>
      </c>
      <c r="L123" s="3">
        <v>30</v>
      </c>
      <c r="M123" s="3">
        <v>75</v>
      </c>
      <c r="N123" s="3">
        <v>225</v>
      </c>
      <c r="O123" s="3">
        <v>90</v>
      </c>
      <c r="P123" s="3">
        <v>135</v>
      </c>
    </row>
    <row r="124" spans="1:16" x14ac:dyDescent="0.3">
      <c r="A124" s="3" t="s">
        <v>382</v>
      </c>
      <c r="B124" s="4" t="s">
        <v>383</v>
      </c>
      <c r="C124" s="3" t="s">
        <v>53</v>
      </c>
      <c r="D124" s="3" t="s">
        <v>28</v>
      </c>
      <c r="E124" s="3" t="s">
        <v>384</v>
      </c>
      <c r="F124" s="3" t="s">
        <v>30</v>
      </c>
      <c r="G124" s="3" t="s">
        <v>21</v>
      </c>
      <c r="H124" s="3" t="s">
        <v>79</v>
      </c>
      <c r="I124" s="3" t="s">
        <v>80</v>
      </c>
      <c r="J124" s="3" t="s">
        <v>81</v>
      </c>
      <c r="K124" s="3">
        <v>1</v>
      </c>
      <c r="L124" s="3">
        <v>20</v>
      </c>
      <c r="M124" s="3">
        <v>60</v>
      </c>
      <c r="N124" s="3">
        <v>60</v>
      </c>
      <c r="O124" s="3">
        <v>20</v>
      </c>
      <c r="P124" s="3">
        <v>40</v>
      </c>
    </row>
    <row r="125" spans="1:16" x14ac:dyDescent="0.3">
      <c r="A125" s="3" t="s">
        <v>385</v>
      </c>
      <c r="B125" s="4" t="s">
        <v>229</v>
      </c>
      <c r="C125" s="3" t="s">
        <v>42</v>
      </c>
      <c r="D125" s="3" t="s">
        <v>43</v>
      </c>
      <c r="E125" s="3" t="s">
        <v>129</v>
      </c>
      <c r="F125" s="3" t="s">
        <v>30</v>
      </c>
      <c r="G125" s="3" t="s">
        <v>31</v>
      </c>
      <c r="H125" s="3" t="s">
        <v>79</v>
      </c>
      <c r="I125" s="3" t="s">
        <v>80</v>
      </c>
      <c r="J125" s="3" t="s">
        <v>81</v>
      </c>
      <c r="K125" s="3">
        <v>2</v>
      </c>
      <c r="L125" s="3">
        <v>20</v>
      </c>
      <c r="M125" s="3">
        <v>60</v>
      </c>
      <c r="N125" s="3">
        <v>120</v>
      </c>
      <c r="O125" s="3">
        <v>40</v>
      </c>
      <c r="P125" s="3">
        <v>80</v>
      </c>
    </row>
    <row r="126" spans="1:16" x14ac:dyDescent="0.3">
      <c r="A126" s="3" t="s">
        <v>386</v>
      </c>
      <c r="B126" s="4" t="s">
        <v>387</v>
      </c>
      <c r="C126" s="3" t="s">
        <v>17</v>
      </c>
      <c r="D126" s="3" t="s">
        <v>18</v>
      </c>
      <c r="E126" s="3" t="s">
        <v>388</v>
      </c>
      <c r="F126" s="3" t="s">
        <v>20</v>
      </c>
      <c r="G126" s="3" t="s">
        <v>21</v>
      </c>
      <c r="H126" s="3" t="s">
        <v>60</v>
      </c>
      <c r="I126" s="3" t="s">
        <v>61</v>
      </c>
      <c r="J126" s="3" t="s">
        <v>62</v>
      </c>
      <c r="K126" s="3">
        <v>3</v>
      </c>
      <c r="L126" s="3">
        <v>25</v>
      </c>
      <c r="M126" s="3">
        <v>69</v>
      </c>
      <c r="N126" s="3">
        <v>207</v>
      </c>
      <c r="O126" s="3">
        <v>75</v>
      </c>
      <c r="P126" s="3">
        <v>132</v>
      </c>
    </row>
    <row r="127" spans="1:16" x14ac:dyDescent="0.3">
      <c r="A127" s="3" t="s">
        <v>389</v>
      </c>
      <c r="B127" s="4" t="s">
        <v>390</v>
      </c>
      <c r="C127" s="3" t="s">
        <v>65</v>
      </c>
      <c r="D127" s="3" t="s">
        <v>43</v>
      </c>
      <c r="E127" s="3" t="s">
        <v>391</v>
      </c>
      <c r="F127" s="3" t="s">
        <v>130</v>
      </c>
      <c r="G127" s="3" t="s">
        <v>45</v>
      </c>
      <c r="H127" s="3" t="s">
        <v>22</v>
      </c>
      <c r="I127" s="3" t="s">
        <v>23</v>
      </c>
      <c r="J127" s="3" t="s">
        <v>24</v>
      </c>
      <c r="K127" s="3">
        <v>1</v>
      </c>
      <c r="L127" s="3">
        <v>50</v>
      </c>
      <c r="M127" s="3">
        <v>99</v>
      </c>
      <c r="N127" s="3">
        <v>99</v>
      </c>
      <c r="O127" s="3">
        <v>50</v>
      </c>
      <c r="P127" s="3">
        <v>49</v>
      </c>
    </row>
    <row r="128" spans="1:16" x14ac:dyDescent="0.3">
      <c r="A128" s="3" t="s">
        <v>392</v>
      </c>
      <c r="B128" s="4" t="s">
        <v>99</v>
      </c>
      <c r="C128" s="3" t="s">
        <v>27</v>
      </c>
      <c r="D128" s="3" t="s">
        <v>28</v>
      </c>
      <c r="E128" s="3" t="s">
        <v>393</v>
      </c>
      <c r="F128" s="3" t="s">
        <v>20</v>
      </c>
      <c r="G128" s="3" t="s">
        <v>45</v>
      </c>
      <c r="H128" s="3" t="s">
        <v>22</v>
      </c>
      <c r="I128" s="3" t="s">
        <v>23</v>
      </c>
      <c r="J128" s="3" t="s">
        <v>24</v>
      </c>
      <c r="K128" s="3">
        <v>1</v>
      </c>
      <c r="L128" s="3">
        <v>50</v>
      </c>
      <c r="M128" s="3">
        <v>99</v>
      </c>
      <c r="N128" s="3">
        <v>99</v>
      </c>
      <c r="O128" s="3">
        <v>50</v>
      </c>
      <c r="P128" s="3">
        <v>49</v>
      </c>
    </row>
    <row r="129" spans="1:16" x14ac:dyDescent="0.3">
      <c r="A129" s="3" t="s">
        <v>394</v>
      </c>
      <c r="B129" s="4" t="s">
        <v>395</v>
      </c>
      <c r="C129" s="3" t="s">
        <v>69</v>
      </c>
      <c r="D129" s="3" t="s">
        <v>70</v>
      </c>
      <c r="E129" s="3" t="s">
        <v>396</v>
      </c>
      <c r="F129" s="3" t="s">
        <v>30</v>
      </c>
      <c r="G129" s="3" t="s">
        <v>21</v>
      </c>
      <c r="H129" s="3" t="s">
        <v>125</v>
      </c>
      <c r="I129" s="3" t="s">
        <v>80</v>
      </c>
      <c r="J129" s="3" t="s">
        <v>126</v>
      </c>
      <c r="K129" s="3">
        <v>1</v>
      </c>
      <c r="L129" s="3">
        <v>25</v>
      </c>
      <c r="M129" s="3">
        <v>55</v>
      </c>
      <c r="N129" s="3">
        <v>55</v>
      </c>
      <c r="O129" s="3">
        <v>25</v>
      </c>
      <c r="P129" s="3">
        <v>30</v>
      </c>
    </row>
    <row r="130" spans="1:16" x14ac:dyDescent="0.3">
      <c r="A130" s="3" t="s">
        <v>397</v>
      </c>
      <c r="B130" s="4" t="s">
        <v>398</v>
      </c>
      <c r="C130" s="3" t="s">
        <v>27</v>
      </c>
      <c r="D130" s="3" t="s">
        <v>28</v>
      </c>
      <c r="E130" s="3" t="s">
        <v>324</v>
      </c>
      <c r="F130" s="3" t="s">
        <v>20</v>
      </c>
      <c r="G130" s="3" t="s">
        <v>31</v>
      </c>
      <c r="H130" s="3" t="s">
        <v>60</v>
      </c>
      <c r="I130" s="3" t="s">
        <v>61</v>
      </c>
      <c r="J130" s="3" t="s">
        <v>62</v>
      </c>
      <c r="K130" s="3">
        <v>1</v>
      </c>
      <c r="L130" s="3">
        <v>25</v>
      </c>
      <c r="M130" s="3">
        <v>69</v>
      </c>
      <c r="N130" s="3">
        <v>69</v>
      </c>
      <c r="O130" s="3">
        <v>25</v>
      </c>
      <c r="P130" s="3">
        <v>44</v>
      </c>
    </row>
    <row r="131" spans="1:16" x14ac:dyDescent="0.3">
      <c r="A131" s="3" t="s">
        <v>399</v>
      </c>
      <c r="B131" s="4" t="s">
        <v>258</v>
      </c>
      <c r="C131" s="3" t="s">
        <v>108</v>
      </c>
      <c r="D131" s="3" t="s">
        <v>18</v>
      </c>
      <c r="E131" s="3" t="s">
        <v>400</v>
      </c>
      <c r="F131" s="3" t="s">
        <v>30</v>
      </c>
      <c r="G131" s="3" t="s">
        <v>45</v>
      </c>
      <c r="H131" s="3" t="s">
        <v>46</v>
      </c>
      <c r="I131" s="3" t="s">
        <v>23</v>
      </c>
      <c r="J131" s="3" t="s">
        <v>47</v>
      </c>
      <c r="K131" s="3">
        <v>1</v>
      </c>
      <c r="L131" s="3">
        <v>150</v>
      </c>
      <c r="M131" s="3">
        <v>250</v>
      </c>
      <c r="N131" s="3">
        <v>250</v>
      </c>
      <c r="O131" s="3">
        <v>150</v>
      </c>
      <c r="P131" s="3">
        <v>100</v>
      </c>
    </row>
    <row r="132" spans="1:16" x14ac:dyDescent="0.3">
      <c r="A132" s="3" t="s">
        <v>401</v>
      </c>
      <c r="B132" s="4" t="s">
        <v>402</v>
      </c>
      <c r="C132" s="3" t="s">
        <v>108</v>
      </c>
      <c r="D132" s="3" t="s">
        <v>18</v>
      </c>
      <c r="E132" s="3" t="s">
        <v>299</v>
      </c>
      <c r="F132" s="3" t="s">
        <v>20</v>
      </c>
      <c r="G132" s="3" t="s">
        <v>45</v>
      </c>
      <c r="H132" s="3" t="s">
        <v>46</v>
      </c>
      <c r="I132" s="3" t="s">
        <v>23</v>
      </c>
      <c r="J132" s="3" t="s">
        <v>47</v>
      </c>
      <c r="K132" s="3">
        <v>3</v>
      </c>
      <c r="L132" s="3">
        <v>150</v>
      </c>
      <c r="M132" s="3">
        <v>250</v>
      </c>
      <c r="N132" s="3">
        <v>750</v>
      </c>
      <c r="O132" s="3">
        <v>450</v>
      </c>
      <c r="P132" s="3">
        <v>300</v>
      </c>
    </row>
    <row r="133" spans="1:16" x14ac:dyDescent="0.3">
      <c r="A133" s="3" t="s">
        <v>403</v>
      </c>
      <c r="B133" s="4" t="s">
        <v>404</v>
      </c>
      <c r="C133" s="3" t="s">
        <v>27</v>
      </c>
      <c r="D133" s="3" t="s">
        <v>28</v>
      </c>
      <c r="E133" s="3" t="s">
        <v>405</v>
      </c>
      <c r="F133" s="3" t="s">
        <v>130</v>
      </c>
      <c r="G133" s="3" t="s">
        <v>21</v>
      </c>
      <c r="H133" s="3" t="s">
        <v>101</v>
      </c>
      <c r="I133" s="3" t="s">
        <v>38</v>
      </c>
      <c r="J133" s="3" t="s">
        <v>102</v>
      </c>
      <c r="K133" s="3">
        <v>1</v>
      </c>
      <c r="L133" s="3">
        <v>40</v>
      </c>
      <c r="M133" s="3">
        <v>89</v>
      </c>
      <c r="N133" s="3">
        <v>89</v>
      </c>
      <c r="O133" s="3">
        <v>40</v>
      </c>
      <c r="P133" s="3">
        <v>49</v>
      </c>
    </row>
    <row r="134" spans="1:16" x14ac:dyDescent="0.3">
      <c r="A134" s="3" t="s">
        <v>406</v>
      </c>
      <c r="B134" s="4" t="s">
        <v>407</v>
      </c>
      <c r="C134" s="3" t="s">
        <v>27</v>
      </c>
      <c r="D134" s="3" t="s">
        <v>28</v>
      </c>
      <c r="E134" s="3" t="s">
        <v>224</v>
      </c>
      <c r="F134" s="3" t="s">
        <v>20</v>
      </c>
      <c r="G134" s="3" t="s">
        <v>31</v>
      </c>
      <c r="H134" s="3" t="s">
        <v>60</v>
      </c>
      <c r="I134" s="3" t="s">
        <v>61</v>
      </c>
      <c r="J134" s="3" t="s">
        <v>62</v>
      </c>
      <c r="K134" s="3">
        <v>4</v>
      </c>
      <c r="L134" s="3">
        <v>25</v>
      </c>
      <c r="M134" s="3">
        <v>69</v>
      </c>
      <c r="N134" s="3">
        <v>276</v>
      </c>
      <c r="O134" s="3">
        <v>100</v>
      </c>
      <c r="P134" s="3">
        <v>176</v>
      </c>
    </row>
    <row r="135" spans="1:16" x14ac:dyDescent="0.3">
      <c r="A135" s="3" t="s">
        <v>408</v>
      </c>
      <c r="B135" s="4" t="s">
        <v>409</v>
      </c>
      <c r="C135" s="3" t="s">
        <v>53</v>
      </c>
      <c r="D135" s="3" t="s">
        <v>28</v>
      </c>
      <c r="E135" s="3" t="s">
        <v>410</v>
      </c>
      <c r="F135" s="3" t="s">
        <v>130</v>
      </c>
      <c r="G135" s="3" t="s">
        <v>21</v>
      </c>
      <c r="H135" s="3" t="s">
        <v>79</v>
      </c>
      <c r="I135" s="3" t="s">
        <v>80</v>
      </c>
      <c r="J135" s="3" t="s">
        <v>81</v>
      </c>
      <c r="K135" s="3">
        <v>2</v>
      </c>
      <c r="L135" s="3">
        <v>20</v>
      </c>
      <c r="M135" s="3">
        <v>60</v>
      </c>
      <c r="N135" s="3">
        <v>120</v>
      </c>
      <c r="O135" s="3">
        <v>40</v>
      </c>
      <c r="P135" s="3">
        <v>80</v>
      </c>
    </row>
    <row r="136" spans="1:16" x14ac:dyDescent="0.3">
      <c r="A136" s="3" t="s">
        <v>411</v>
      </c>
      <c r="B136" s="4" t="s">
        <v>312</v>
      </c>
      <c r="C136" s="3" t="s">
        <v>77</v>
      </c>
      <c r="D136" s="3" t="s">
        <v>70</v>
      </c>
      <c r="E136" s="3" t="s">
        <v>412</v>
      </c>
      <c r="F136" s="3" t="s">
        <v>130</v>
      </c>
      <c r="G136" s="3" t="s">
        <v>21</v>
      </c>
      <c r="H136" s="3" t="s">
        <v>125</v>
      </c>
      <c r="I136" s="3" t="s">
        <v>80</v>
      </c>
      <c r="J136" s="3" t="s">
        <v>126</v>
      </c>
      <c r="K136" s="3">
        <v>5</v>
      </c>
      <c r="L136" s="3">
        <v>25</v>
      </c>
      <c r="M136" s="3">
        <v>55</v>
      </c>
      <c r="N136" s="3">
        <v>275</v>
      </c>
      <c r="O136" s="3">
        <v>125</v>
      </c>
      <c r="P136" s="3">
        <v>150</v>
      </c>
    </row>
    <row r="137" spans="1:16" x14ac:dyDescent="0.3">
      <c r="A137" s="3" t="s">
        <v>413</v>
      </c>
      <c r="B137" s="4" t="s">
        <v>215</v>
      </c>
      <c r="C137" s="3" t="s">
        <v>69</v>
      </c>
      <c r="D137" s="3" t="s">
        <v>70</v>
      </c>
      <c r="E137" s="3" t="s">
        <v>227</v>
      </c>
      <c r="F137" s="3" t="s">
        <v>30</v>
      </c>
      <c r="G137" s="3" t="s">
        <v>31</v>
      </c>
      <c r="H137" s="3" t="s">
        <v>37</v>
      </c>
      <c r="I137" s="3" t="s">
        <v>38</v>
      </c>
      <c r="J137" s="3" t="s">
        <v>39</v>
      </c>
      <c r="K137" s="3">
        <v>1</v>
      </c>
      <c r="L137" s="3">
        <v>60</v>
      </c>
      <c r="M137" s="3">
        <v>120</v>
      </c>
      <c r="N137" s="3">
        <v>120</v>
      </c>
      <c r="O137" s="3">
        <v>60</v>
      </c>
      <c r="P137" s="3">
        <v>60</v>
      </c>
    </row>
    <row r="138" spans="1:16" x14ac:dyDescent="0.3">
      <c r="A138" s="3" t="s">
        <v>414</v>
      </c>
      <c r="B138" s="4" t="s">
        <v>415</v>
      </c>
      <c r="C138" s="3" t="s">
        <v>27</v>
      </c>
      <c r="D138" s="3" t="s">
        <v>28</v>
      </c>
      <c r="E138" s="3" t="s">
        <v>336</v>
      </c>
      <c r="F138" s="3" t="s">
        <v>20</v>
      </c>
      <c r="G138" s="3" t="s">
        <v>21</v>
      </c>
      <c r="H138" s="3" t="s">
        <v>85</v>
      </c>
      <c r="I138" s="3" t="s">
        <v>80</v>
      </c>
      <c r="J138" s="3" t="s">
        <v>86</v>
      </c>
      <c r="K138" s="3">
        <v>2</v>
      </c>
      <c r="L138" s="3">
        <v>45</v>
      </c>
      <c r="M138" s="3">
        <v>110</v>
      </c>
      <c r="N138" s="3">
        <v>220</v>
      </c>
      <c r="O138" s="3">
        <v>90</v>
      </c>
      <c r="P138" s="3">
        <v>130</v>
      </c>
    </row>
    <row r="139" spans="1:16" x14ac:dyDescent="0.3">
      <c r="A139" s="3" t="s">
        <v>416</v>
      </c>
      <c r="B139" s="4" t="s">
        <v>417</v>
      </c>
      <c r="C139" s="3" t="s">
        <v>69</v>
      </c>
      <c r="D139" s="3" t="s">
        <v>70</v>
      </c>
      <c r="E139" s="3" t="s">
        <v>418</v>
      </c>
      <c r="F139" s="3" t="s">
        <v>30</v>
      </c>
      <c r="G139" s="3" t="s">
        <v>31</v>
      </c>
      <c r="H139" s="3" t="s">
        <v>85</v>
      </c>
      <c r="I139" s="3" t="s">
        <v>80</v>
      </c>
      <c r="J139" s="3" t="s">
        <v>86</v>
      </c>
      <c r="K139" s="3">
        <v>2</v>
      </c>
      <c r="L139" s="3">
        <v>45</v>
      </c>
      <c r="M139" s="3">
        <v>110</v>
      </c>
      <c r="N139" s="3">
        <v>220</v>
      </c>
      <c r="O139" s="3">
        <v>90</v>
      </c>
      <c r="P139" s="3">
        <v>130</v>
      </c>
    </row>
    <row r="140" spans="1:16" x14ac:dyDescent="0.3">
      <c r="A140" s="3" t="s">
        <v>419</v>
      </c>
      <c r="B140" s="4" t="s">
        <v>335</v>
      </c>
      <c r="C140" s="3" t="s">
        <v>69</v>
      </c>
      <c r="D140" s="3" t="s">
        <v>70</v>
      </c>
      <c r="E140" s="3" t="s">
        <v>420</v>
      </c>
      <c r="F140" s="3" t="s">
        <v>30</v>
      </c>
      <c r="G140" s="3" t="s">
        <v>21</v>
      </c>
      <c r="H140" s="3" t="s">
        <v>22</v>
      </c>
      <c r="I140" s="3" t="s">
        <v>23</v>
      </c>
      <c r="J140" s="3" t="s">
        <v>24</v>
      </c>
      <c r="K140" s="3">
        <v>1</v>
      </c>
      <c r="L140" s="3">
        <v>50</v>
      </c>
      <c r="M140" s="3">
        <v>99</v>
      </c>
      <c r="N140" s="3">
        <v>99</v>
      </c>
      <c r="O140" s="3">
        <v>50</v>
      </c>
      <c r="P140" s="3">
        <v>49</v>
      </c>
    </row>
    <row r="141" spans="1:16" x14ac:dyDescent="0.3">
      <c r="A141" s="3" t="s">
        <v>421</v>
      </c>
      <c r="B141" s="4" t="s">
        <v>422</v>
      </c>
      <c r="C141" s="3" t="s">
        <v>69</v>
      </c>
      <c r="D141" s="3" t="s">
        <v>70</v>
      </c>
      <c r="E141" s="3" t="s">
        <v>136</v>
      </c>
      <c r="F141" s="3" t="s">
        <v>30</v>
      </c>
      <c r="G141" s="3" t="s">
        <v>21</v>
      </c>
      <c r="H141" s="3" t="s">
        <v>85</v>
      </c>
      <c r="I141" s="3" t="s">
        <v>80</v>
      </c>
      <c r="J141" s="3" t="s">
        <v>86</v>
      </c>
      <c r="K141" s="3">
        <v>1</v>
      </c>
      <c r="L141" s="3">
        <v>45</v>
      </c>
      <c r="M141" s="3">
        <v>110</v>
      </c>
      <c r="N141" s="3">
        <v>110</v>
      </c>
      <c r="O141" s="3">
        <v>45</v>
      </c>
      <c r="P141" s="3">
        <v>65</v>
      </c>
    </row>
    <row r="142" spans="1:16" x14ac:dyDescent="0.3">
      <c r="A142" s="3" t="s">
        <v>423</v>
      </c>
      <c r="B142" s="4" t="s">
        <v>350</v>
      </c>
      <c r="C142" s="3" t="s">
        <v>42</v>
      </c>
      <c r="D142" s="3" t="s">
        <v>43</v>
      </c>
      <c r="E142" s="3" t="s">
        <v>396</v>
      </c>
      <c r="F142" s="3" t="s">
        <v>20</v>
      </c>
      <c r="G142" s="3" t="s">
        <v>21</v>
      </c>
      <c r="H142" s="3" t="s">
        <v>37</v>
      </c>
      <c r="I142" s="3" t="s">
        <v>38</v>
      </c>
      <c r="J142" s="3" t="s">
        <v>39</v>
      </c>
      <c r="K142" s="3">
        <v>3</v>
      </c>
      <c r="L142" s="3">
        <v>60</v>
      </c>
      <c r="M142" s="3">
        <v>120</v>
      </c>
      <c r="N142" s="3">
        <v>360</v>
      </c>
      <c r="O142" s="3">
        <v>180</v>
      </c>
      <c r="P142" s="3">
        <v>180</v>
      </c>
    </row>
    <row r="143" spans="1:16" x14ac:dyDescent="0.3">
      <c r="A143" s="3" t="s">
        <v>424</v>
      </c>
      <c r="B143" s="4" t="s">
        <v>425</v>
      </c>
      <c r="C143" s="3" t="s">
        <v>42</v>
      </c>
      <c r="D143" s="3" t="s">
        <v>43</v>
      </c>
      <c r="E143" s="3" t="s">
        <v>426</v>
      </c>
      <c r="F143" s="3" t="s">
        <v>20</v>
      </c>
      <c r="G143" s="3" t="s">
        <v>31</v>
      </c>
      <c r="H143" s="3" t="s">
        <v>32</v>
      </c>
      <c r="I143" s="3" t="s">
        <v>23</v>
      </c>
      <c r="J143" s="3" t="s">
        <v>33</v>
      </c>
      <c r="K143" s="3">
        <v>1</v>
      </c>
      <c r="L143" s="3">
        <v>800</v>
      </c>
      <c r="M143" s="3">
        <v>1200</v>
      </c>
      <c r="N143" s="3">
        <v>1200</v>
      </c>
      <c r="O143" s="3">
        <v>800</v>
      </c>
      <c r="P143" s="3">
        <v>400</v>
      </c>
    </row>
    <row r="144" spans="1:16" x14ac:dyDescent="0.3">
      <c r="A144" s="3" t="s">
        <v>427</v>
      </c>
      <c r="B144" s="4" t="s">
        <v>428</v>
      </c>
      <c r="C144" s="3" t="s">
        <v>69</v>
      </c>
      <c r="D144" s="3" t="s">
        <v>70</v>
      </c>
      <c r="E144" s="3" t="s">
        <v>429</v>
      </c>
      <c r="F144" s="3" t="s">
        <v>30</v>
      </c>
      <c r="G144" s="3" t="s">
        <v>21</v>
      </c>
      <c r="H144" s="3" t="s">
        <v>101</v>
      </c>
      <c r="I144" s="3" t="s">
        <v>38</v>
      </c>
      <c r="J144" s="3" t="s">
        <v>102</v>
      </c>
      <c r="K144" s="3">
        <v>2</v>
      </c>
      <c r="L144" s="3">
        <v>40</v>
      </c>
      <c r="M144" s="3">
        <v>89</v>
      </c>
      <c r="N144" s="3">
        <v>178</v>
      </c>
      <c r="O144" s="3">
        <v>80</v>
      </c>
      <c r="P144" s="3">
        <v>98</v>
      </c>
    </row>
    <row r="145" spans="1:16" x14ac:dyDescent="0.3">
      <c r="A145" s="3" t="s">
        <v>430</v>
      </c>
      <c r="B145" s="4" t="s">
        <v>431</v>
      </c>
      <c r="C145" s="3" t="s">
        <v>65</v>
      </c>
      <c r="D145" s="3" t="s">
        <v>43</v>
      </c>
      <c r="E145" s="3" t="s">
        <v>129</v>
      </c>
      <c r="F145" s="3" t="s">
        <v>30</v>
      </c>
      <c r="G145" s="3" t="s">
        <v>45</v>
      </c>
      <c r="H145" s="3" t="s">
        <v>55</v>
      </c>
      <c r="I145" s="3" t="s">
        <v>38</v>
      </c>
      <c r="J145" s="3" t="s">
        <v>56</v>
      </c>
      <c r="K145" s="3">
        <v>1</v>
      </c>
      <c r="L145" s="3">
        <v>30</v>
      </c>
      <c r="M145" s="3">
        <v>75</v>
      </c>
      <c r="N145" s="3">
        <v>75</v>
      </c>
      <c r="O145" s="3">
        <v>30</v>
      </c>
      <c r="P145" s="3">
        <v>45</v>
      </c>
    </row>
    <row r="146" spans="1:16" x14ac:dyDescent="0.3">
      <c r="A146" s="3" t="s">
        <v>432</v>
      </c>
      <c r="B146" s="4" t="s">
        <v>433</v>
      </c>
      <c r="C146" s="3" t="s">
        <v>17</v>
      </c>
      <c r="D146" s="3" t="s">
        <v>18</v>
      </c>
      <c r="E146" s="3" t="s">
        <v>434</v>
      </c>
      <c r="F146" s="3" t="s">
        <v>30</v>
      </c>
      <c r="G146" s="3" t="s">
        <v>31</v>
      </c>
      <c r="H146" s="3" t="s">
        <v>32</v>
      </c>
      <c r="I146" s="3" t="s">
        <v>23</v>
      </c>
      <c r="J146" s="3" t="s">
        <v>33</v>
      </c>
      <c r="K146" s="3">
        <v>1</v>
      </c>
      <c r="L146" s="3">
        <v>800</v>
      </c>
      <c r="M146" s="3">
        <v>1200</v>
      </c>
      <c r="N146" s="3">
        <v>1200</v>
      </c>
      <c r="O146" s="3">
        <v>800</v>
      </c>
      <c r="P146" s="3">
        <v>400</v>
      </c>
    </row>
    <row r="147" spans="1:16" x14ac:dyDescent="0.3">
      <c r="A147" s="3" t="s">
        <v>435</v>
      </c>
      <c r="B147" s="4" t="s">
        <v>350</v>
      </c>
      <c r="C147" s="3" t="s">
        <v>53</v>
      </c>
      <c r="D147" s="3" t="s">
        <v>28</v>
      </c>
      <c r="E147" s="3" t="s">
        <v>66</v>
      </c>
      <c r="F147" s="3" t="s">
        <v>20</v>
      </c>
      <c r="G147" s="3" t="s">
        <v>21</v>
      </c>
      <c r="H147" s="3" t="s">
        <v>125</v>
      </c>
      <c r="I147" s="3" t="s">
        <v>80</v>
      </c>
      <c r="J147" s="3" t="s">
        <v>126</v>
      </c>
      <c r="K147" s="3">
        <v>4</v>
      </c>
      <c r="L147" s="3">
        <v>25</v>
      </c>
      <c r="M147" s="3">
        <v>55</v>
      </c>
      <c r="N147" s="3">
        <v>220</v>
      </c>
      <c r="O147" s="3">
        <v>100</v>
      </c>
      <c r="P147" s="3">
        <v>120</v>
      </c>
    </row>
    <row r="148" spans="1:16" x14ac:dyDescent="0.3">
      <c r="A148" s="3" t="s">
        <v>436</v>
      </c>
      <c r="B148" s="4" t="s">
        <v>290</v>
      </c>
      <c r="C148" s="3" t="s">
        <v>65</v>
      </c>
      <c r="D148" s="3" t="s">
        <v>43</v>
      </c>
      <c r="E148" s="3" t="s">
        <v>437</v>
      </c>
      <c r="F148" s="3" t="s">
        <v>20</v>
      </c>
      <c r="G148" s="3" t="s">
        <v>21</v>
      </c>
      <c r="H148" s="3" t="s">
        <v>85</v>
      </c>
      <c r="I148" s="3" t="s">
        <v>80</v>
      </c>
      <c r="J148" s="3" t="s">
        <v>86</v>
      </c>
      <c r="K148" s="3">
        <v>1</v>
      </c>
      <c r="L148" s="3">
        <v>45</v>
      </c>
      <c r="M148" s="3">
        <v>110</v>
      </c>
      <c r="N148" s="3">
        <v>110</v>
      </c>
      <c r="O148" s="3">
        <v>45</v>
      </c>
      <c r="P148" s="3">
        <v>65</v>
      </c>
    </row>
    <row r="149" spans="1:16" x14ac:dyDescent="0.3">
      <c r="A149" s="3" t="s">
        <v>438</v>
      </c>
      <c r="B149" s="4" t="s">
        <v>439</v>
      </c>
      <c r="C149" s="3" t="s">
        <v>42</v>
      </c>
      <c r="D149" s="3" t="s">
        <v>43</v>
      </c>
      <c r="E149" s="3" t="s">
        <v>59</v>
      </c>
      <c r="F149" s="3" t="s">
        <v>30</v>
      </c>
      <c r="G149" s="3" t="s">
        <v>21</v>
      </c>
      <c r="H149" s="3" t="s">
        <v>173</v>
      </c>
      <c r="I149" s="3" t="s">
        <v>61</v>
      </c>
      <c r="J149" s="3" t="s">
        <v>174</v>
      </c>
      <c r="K149" s="3">
        <v>2</v>
      </c>
      <c r="L149" s="3">
        <v>35</v>
      </c>
      <c r="M149" s="3">
        <v>95</v>
      </c>
      <c r="N149" s="3">
        <v>190</v>
      </c>
      <c r="O149" s="3">
        <v>70</v>
      </c>
      <c r="P149" s="3">
        <v>120</v>
      </c>
    </row>
    <row r="150" spans="1:16" x14ac:dyDescent="0.3">
      <c r="A150" s="3" t="s">
        <v>440</v>
      </c>
      <c r="B150" s="4" t="s">
        <v>441</v>
      </c>
      <c r="C150" s="3" t="s">
        <v>17</v>
      </c>
      <c r="D150" s="3" t="s">
        <v>18</v>
      </c>
      <c r="E150" s="3" t="s">
        <v>442</v>
      </c>
      <c r="F150" s="3" t="s">
        <v>20</v>
      </c>
      <c r="G150" s="3" t="s">
        <v>45</v>
      </c>
      <c r="H150" s="3" t="s">
        <v>85</v>
      </c>
      <c r="I150" s="3" t="s">
        <v>80</v>
      </c>
      <c r="J150" s="3" t="s">
        <v>86</v>
      </c>
      <c r="K150" s="3">
        <v>3</v>
      </c>
      <c r="L150" s="3">
        <v>45</v>
      </c>
      <c r="M150" s="3">
        <v>110</v>
      </c>
      <c r="N150" s="3">
        <v>330</v>
      </c>
      <c r="O150" s="3">
        <v>135</v>
      </c>
      <c r="P150" s="3">
        <v>195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KPI_Formula</vt:lpstr>
      <vt:lpstr>Finale_Dashboard</vt:lpstr>
      <vt:lpstr>M-1</vt:lpstr>
      <vt:lpstr>M-2</vt:lpstr>
      <vt:lpstr>M-3</vt:lpstr>
      <vt:lpstr>M-4</vt:lpstr>
      <vt:lpstr>M-5</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verma</dc:creator>
  <cp:lastModifiedBy>amit verma</cp:lastModifiedBy>
  <dcterms:created xsi:type="dcterms:W3CDTF">2026-10-27T15:33:55Z</dcterms:created>
  <dcterms:modified xsi:type="dcterms:W3CDTF">2026-10-27T19:34:57Z</dcterms:modified>
</cp:coreProperties>
</file>